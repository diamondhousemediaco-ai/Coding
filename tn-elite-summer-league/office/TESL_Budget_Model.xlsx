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taffing Plan" sheetId="3" state="visible" r:id="rId3"/>
    <sheet xmlns:r="http://schemas.openxmlformats.org/officeDocument/2006/relationships" name="Year 1 Budget" sheetId="4" state="visible" r:id="rId4"/>
    <sheet xmlns:r="http://schemas.openxmlformats.org/officeDocument/2006/relationships" name="Full Vision Budget" sheetId="5" state="visible" r:id="rId5"/>
    <sheet xmlns:r="http://schemas.openxmlformats.org/officeDocument/2006/relationships" name="Revenue Scenarios" sheetId="6" state="visible" r:id="rId6"/>
    <sheet xmlns:r="http://schemas.openxmlformats.org/officeDocument/2006/relationships" name="Sponsor Menu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\$#,##0;&quot;($&quot;#,##0\);\-"/>
    <numFmt numFmtId="166" formatCode="0.0%"/>
    <numFmt numFmtId="167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9"/>
    </font>
    <font>
      <name val="Arial"/>
      <charset val="1"/>
      <family val="0"/>
      <color rgb="FF595959"/>
      <sz val="9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color rgb="FF595959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5" fillId="5" borderId="0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11" fillId="5" borderId="0" applyAlignment="1" pivotButton="0" quotePrefix="0" xfId="0">
      <alignment horizontal="general" vertical="bottom"/>
    </xf>
    <xf numFmtId="165" fontId="11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5" fillId="5" borderId="0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11" fillId="5" borderId="0" applyAlignment="1" pivotButton="0" quotePrefix="0" xfId="0">
      <alignment horizontal="general" vertical="bottom"/>
    </xf>
    <xf numFmtId="165" fontId="11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31" min="1" max="1"/>
    <col width="110" customWidth="1" style="31" min="2" max="2"/>
  </cols>
  <sheetData>
    <row r="1" ht="24" customHeight="1" s="32">
      <c r="A1" s="33" t="inlineStr">
        <is>
          <t>Tennessee Elite Summer Basketball League — Budget Model</t>
        </is>
      </c>
    </row>
    <row r="3" ht="15" customHeight="1" s="32">
      <c r="A3" s="34" t="n"/>
      <c r="B3" s="35" t="n"/>
    </row>
    <row r="4" ht="39" customHeight="1" s="32">
      <c r="A4" s="34" t="inlineStr">
        <is>
          <t>What this file is</t>
        </is>
      </c>
      <c r="B4" s="35" t="inlineStr">
        <is>
          <t>A working budget model for a 16-team (8 boys / 8 girls) elite HS 5v5 summer league at Belmont University, first season Summer 2027. Two tiers: a Year 1 launch budget and a Full Vision (Year 3) budget.</t>
        </is>
      </c>
    </row>
    <row r="5" ht="15" customHeight="1" s="32">
      <c r="A5" s="34" t="n"/>
      <c r="B5" s="35" t="n"/>
    </row>
    <row r="6" ht="39" customHeight="1" s="32">
      <c r="A6" s="34" t="inlineStr">
        <is>
          <t>How to use it</t>
        </is>
      </c>
      <c r="B6" s="35" t="inlineStr">
        <is>
          <t>Every number in BLUE on the Assumptions and Staffing Plan tabs is an editable input. Everything in black is a formula that recalculates. Yellow cells are the assumptions that most need real quotes (Belmont rental, sponsor commitments).</t>
        </is>
      </c>
    </row>
    <row r="7" ht="15" customHeight="1" s="32">
      <c r="A7" s="34" t="n"/>
      <c r="B7" s="35" t="n"/>
    </row>
    <row r="8" ht="25.5" customHeight="1" s="32">
      <c r="A8" s="34" t="inlineStr">
        <is>
          <t>Color legend</t>
        </is>
      </c>
      <c r="B8" s="35" t="inlineStr">
        <is>
          <t>BLUE = editable input · BLACK = formula · GREEN = pulls from another tab · YELLOW fill = key assumption, verify with a real quote</t>
        </is>
      </c>
    </row>
    <row r="9" ht="15" customHeight="1" s="32">
      <c r="A9" s="34" t="n"/>
      <c r="B9" s="35" t="n"/>
    </row>
    <row r="10" ht="39" customHeight="1" s="32">
      <c r="A10" s="34" t="inlineStr">
        <is>
          <t>Tabs</t>
        </is>
      </c>
      <c r="B10" s="35" t="inlineStr">
        <is>
          <t>Assumptions → all levers. Year 1 Budget → launch season. Full Vision Budget → the ESPN-scale version. Revenue Scenarios → conservative / base / stretch. Sponsor Menu → sellable assets with price points. Staffing Plan → the team that runs it, with comp.</t>
        </is>
      </c>
    </row>
    <row r="11" ht="15" customHeight="1" s="32">
      <c r="A11" s="34" t="n"/>
      <c r="B11" s="35" t="n"/>
    </row>
    <row r="12" ht="51.75" customHeight="1" s="32">
      <c r="A12" s="34" t="inlineStr">
        <is>
          <t>Key sources</t>
        </is>
      </c>
      <c r="B12" s="35" t="inlineStr">
        <is>
          <t>Cost benchmarks: ZebraWeb officials pay survey; ArenaMediaCloud production calculator; Prep Athletic Director sponsorship pricing method; NCAA ECAG fee schedule; TSSAA 2024-25 Handbook &amp; basketball calendar; Unrivaled/OTE reporting (ESPN, SportsPro, Front Office Sports). Venue costs are ESTIMATES — Belmont does not publish rates (contact osves@belmont.edu).</t>
        </is>
      </c>
    </row>
    <row r="13" ht="15" customHeight="1" s="32">
      <c r="A13" s="34" t="n"/>
      <c r="B13" s="35" t="n"/>
    </row>
    <row r="14" ht="25.5" customHeight="1" s="32">
      <c r="A14" s="34" t="inlineStr">
        <is>
          <t>Important caveat</t>
        </is>
      </c>
      <c r="B14" s="35" t="inlineStr">
        <is>
          <t>This model is planning-grade, not accounting-grade. Every venue, production, and sponsorship figure should be replaced with signed quotes as they arrive.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14" customWidth="1" style="31" min="2" max="2"/>
    <col width="12" customWidth="1" style="31" min="3" max="3"/>
    <col width="95" customWidth="1" style="31" min="4" max="4"/>
  </cols>
  <sheetData>
    <row r="1" ht="24" customHeight="1" s="32">
      <c r="A1" s="33" t="inlineStr">
        <is>
          <t>Assumptions — every blue cell is editable</t>
        </is>
      </c>
    </row>
    <row r="2"/>
    <row r="3" ht="15" customHeight="1" s="32">
      <c r="A3" s="36" t="inlineStr">
        <is>
          <t>LEAGUE STRUCTURE</t>
        </is>
      </c>
    </row>
    <row r="4" ht="15" customHeight="1" s="32">
      <c r="A4" s="37" t="inlineStr">
        <is>
          <t>Teams per gender</t>
        </is>
      </c>
      <c r="B4" s="38" t="n">
        <v>8</v>
      </c>
      <c r="C4" s="39" t="n"/>
      <c r="D4" s="40" t="n"/>
    </row>
    <row r="5" ht="15" customHeight="1" s="32">
      <c r="A5" s="37" t="inlineStr">
        <is>
          <t>Genders (boys + girls)</t>
        </is>
      </c>
      <c r="B5" s="38" t="n">
        <v>2</v>
      </c>
      <c r="C5" s="39" t="n"/>
      <c r="D5" s="40" t="n"/>
    </row>
    <row r="6" ht="15" customHeight="1" s="32">
      <c r="A6" s="37" t="inlineStr">
        <is>
          <t>Total teams</t>
        </is>
      </c>
      <c r="B6" s="41">
        <f>B4*B5</f>
        <v/>
      </c>
      <c r="C6" s="39" t="n"/>
      <c r="D6" s="40" t="n"/>
    </row>
    <row r="7" ht="15" customHeight="1" s="32">
      <c r="A7" s="37" t="inlineStr">
        <is>
          <t>Roster size per team</t>
        </is>
      </c>
      <c r="B7" s="38" t="n">
        <v>10</v>
      </c>
      <c r="C7" s="39" t="n"/>
      <c r="D7" s="40" t="n"/>
    </row>
    <row r="8" ht="15" customHeight="1" s="32">
      <c r="A8" s="37" t="inlineStr">
        <is>
          <t>Total players</t>
        </is>
      </c>
      <c r="B8" s="41">
        <f>B6*B7</f>
        <v/>
      </c>
      <c r="C8" s="39" t="n"/>
      <c r="D8" s="40" t="n"/>
    </row>
    <row r="9" ht="15" customHeight="1" s="32">
      <c r="A9" s="37" t="inlineStr">
        <is>
          <t>Sessions per summer</t>
        </is>
      </c>
      <c r="B9" s="38" t="n">
        <v>2</v>
      </c>
      <c r="C9" s="39" t="n"/>
      <c r="D9" s="40" t="inlineStr">
        <is>
          <t>Two 5-week sessions scheduled around the TSSAA dead period (~Jun 21 - Jul 4, 2027)</t>
        </is>
      </c>
    </row>
    <row r="10" ht="15" customHeight="1" s="32">
      <c r="A10" s="37" t="inlineStr">
        <is>
          <t>Regular-season games per team per session</t>
        </is>
      </c>
      <c r="B10" s="38" t="n">
        <v>8</v>
      </c>
      <c r="C10" s="39" t="n"/>
      <c r="D10" s="40" t="inlineStr">
        <is>
          <t>2 games/week x 4 weeks; week 5 = playoffs</t>
        </is>
      </c>
    </row>
    <row r="11" ht="15" customHeight="1" s="32">
      <c r="A11" s="37" t="inlineStr">
        <is>
          <t>Playoff games per gender per session</t>
        </is>
      </c>
      <c r="B11" s="38" t="n">
        <v>7</v>
      </c>
      <c r="C11" s="39" t="n"/>
      <c r="D11" s="40" t="inlineStr">
        <is>
          <t>8-team single-elim + 3rd place + final</t>
        </is>
      </c>
    </row>
    <row r="12" ht="15" customHeight="1" s="32">
      <c r="A12" s="37" t="inlineStr">
        <is>
          <t>Games per session (both genders)</t>
        </is>
      </c>
      <c r="B12" s="41">
        <f>(B4*B10/2+B11)*B5</f>
        <v/>
      </c>
      <c r="C12" s="39" t="n"/>
      <c r="D12" s="40" t="n"/>
    </row>
    <row r="13" ht="15" customHeight="1" s="32">
      <c r="A13" s="37" t="inlineStr">
        <is>
          <t>Total league games per summer</t>
        </is>
      </c>
      <c r="B13" s="41">
        <f>B12*B9</f>
        <v/>
      </c>
      <c r="C13" s="39" t="n"/>
      <c r="D13" s="40" t="n"/>
    </row>
    <row r="14" ht="15" customHeight="1" s="32">
      <c r="A14" s="37" t="inlineStr">
        <is>
          <t>Nationals invitational games — Year 1</t>
        </is>
      </c>
      <c r="B14" s="38" t="n">
        <v>0</v>
      </c>
      <c r="C14" s="39" t="n"/>
      <c r="D14" s="40" t="inlineStr">
        <is>
          <t>Recommend launching Nationals in Year 2-3, not Year 1</t>
        </is>
      </c>
    </row>
    <row r="15" ht="15" customHeight="1" s="32">
      <c r="A15" s="37" t="inlineStr">
        <is>
          <t>Nationals invitational games — Full Vision</t>
        </is>
      </c>
      <c r="B15" s="38" t="n">
        <v>24</v>
      </c>
      <c r="C15" s="39" t="n"/>
      <c r="D15" s="40" t="inlineStr">
        <is>
          <t>16 invited teams (8B/8G), ~10-day event aligned to NCAA July live periods</t>
        </is>
      </c>
    </row>
    <row r="16" ht="15" customHeight="1" s="32">
      <c r="A16" s="37" t="inlineStr">
        <is>
          <t>Game/event days — Year 1</t>
        </is>
      </c>
      <c r="B16" s="38" t="n">
        <v>44</v>
      </c>
      <c r="C16" s="39" t="n"/>
      <c r="D16" s="40" t="inlineStr">
        <is>
          <t>~20 game days/session + combine, draft, championship days</t>
        </is>
      </c>
    </row>
    <row r="17" ht="15" customHeight="1" s="32">
      <c r="A17" s="37" t="inlineStr">
        <is>
          <t>Game/event days — Full Vision</t>
        </is>
      </c>
      <c r="B17" s="38" t="n">
        <v>64</v>
      </c>
      <c r="C17" s="39" t="n"/>
      <c r="D17" s="40" t="inlineStr">
        <is>
          <t>Adds Nationals (~10 days) and more arena dates</t>
        </is>
      </c>
    </row>
    <row r="18"/>
    <row r="19" ht="15" customHeight="1" s="32">
      <c r="A19" s="36" t="inlineStr">
        <is>
          <t>PLAYER FEES (your hybrid model)</t>
        </is>
      </c>
    </row>
    <row r="20" ht="15" customHeight="1" s="32">
      <c r="A20" s="37" t="inlineStr">
        <is>
          <t>Tryout participants</t>
        </is>
      </c>
      <c r="B20" s="38" t="n">
        <v>600</v>
      </c>
      <c r="C20" s="39" t="n"/>
      <c r="D20" s="40" t="inlineStr">
        <is>
          <t>Open tryouts across TN; fee credited toward season fee if drafted</t>
        </is>
      </c>
    </row>
    <row r="21" ht="15" customHeight="1" s="32">
      <c r="A21" s="37" t="inlineStr">
        <is>
          <t>Tryout fee</t>
        </is>
      </c>
      <c r="B21" s="42" t="n">
        <v>50</v>
      </c>
      <c r="C21" s="39" t="n"/>
      <c r="D21" s="40" t="inlineStr">
        <is>
          <t>Rolled into season fee for players who make it; combine fee waived for invitees</t>
        </is>
      </c>
    </row>
    <row r="22" ht="15" customHeight="1" s="32">
      <c r="A22" s="37" t="inlineStr">
        <is>
          <t>Player season fee — Year 1 (net of tryout credit)</t>
        </is>
      </c>
      <c r="B22" s="43" t="n">
        <v>400</v>
      </c>
      <c r="C22" s="39" t="n"/>
      <c r="D22" s="40" t="inlineStr">
        <is>
          <t>All-in for both sessions. vs $3,000-5,000+ typical AAU summer. Full Vision goal = $0 (fully sponsored)</t>
        </is>
      </c>
    </row>
    <row r="23" ht="15" customHeight="1" s="32">
      <c r="A23" s="37" t="inlineStr">
        <is>
          <t>Player season fee — Full Vision</t>
        </is>
      </c>
      <c r="B23" s="42" t="n">
        <v>0</v>
      </c>
      <c r="C23" s="39" t="n"/>
      <c r="D23" s="40" t="inlineStr">
        <is>
          <t>The anti-AAU endgame: sponsors fund everything</t>
        </is>
      </c>
    </row>
    <row r="24"/>
    <row r="25" ht="15" customHeight="1" s="32">
      <c r="A25" s="36" t="inlineStr">
        <is>
          <t>COST RATES — shared drivers</t>
        </is>
      </c>
    </row>
    <row r="26" ht="15" customHeight="1" s="32">
      <c r="A26" s="37" t="inlineStr">
        <is>
          <t>Officials — per official per game</t>
        </is>
      </c>
      <c r="B26" s="42" t="n">
        <v>150</v>
      </c>
      <c r="C26" s="39" t="n"/>
      <c r="D26" s="40" t="inlineStr">
        <is>
          <t>UPGRADED: college-level officials (D2 crews) — the anti-AAU officiating standard. In-season college rates run $200-700/game; summer-league rate assumed $150</t>
        </is>
      </c>
    </row>
    <row r="27" ht="15" customHeight="1" s="32">
      <c r="A27" s="37" t="inlineStr">
        <is>
          <t>Officials per game</t>
        </is>
      </c>
      <c r="B27" s="38" t="n">
        <v>3</v>
      </c>
      <c r="C27" s="39" t="n"/>
      <c r="D27" s="40" t="n"/>
    </row>
    <row r="28" ht="15" customHeight="1" s="32">
      <c r="A28" s="37" t="inlineStr">
        <is>
          <t>Certified athletic trainer — per event day</t>
        </is>
      </c>
      <c r="B28" s="42" t="n">
        <v>450</v>
      </c>
      <c r="C28" s="39" t="n"/>
      <c r="D28" s="40" t="inlineStr">
        <is>
          <t>Per-diem ATs ~$40-75/hr; required by NCAA ECAG at every facility</t>
        </is>
      </c>
    </row>
    <row r="29" ht="15" customHeight="1" s="32">
      <c r="A29" s="37" t="inlineStr">
        <is>
          <t>Game-day ops crew per day — Year 1</t>
        </is>
      </c>
      <c r="B29" s="42" t="n">
        <v>800</v>
      </c>
      <c r="C29" s="39" t="n"/>
      <c r="D29" s="40" t="inlineStr">
        <is>
          <t>Scorekeepers, clock, PA/DJ, gate, security</t>
        </is>
      </c>
    </row>
    <row r="30" ht="15" customHeight="1" s="32">
      <c r="A30" s="37" t="inlineStr">
        <is>
          <t>Game-day ops crew per day — Full Vision</t>
        </is>
      </c>
      <c r="B30" s="42" t="n">
        <v>1400</v>
      </c>
      <c r="C30" s="39" t="n"/>
      <c r="D30" s="40" t="n"/>
    </row>
    <row r="31"/>
    <row r="32" ht="15" customHeight="1" s="32">
      <c r="A32" s="36" t="inlineStr">
        <is>
          <t>VENUE (estimates — get Belmont quote: osves@belmont.edu)</t>
        </is>
      </c>
    </row>
    <row r="33" ht="15" customHeight="1" s="32">
      <c r="A33" s="37" t="inlineStr">
        <is>
          <t>Belmont practice facility court-hours — Year 1</t>
        </is>
      </c>
      <c r="B33" s="38" t="n">
        <v>320</v>
      </c>
      <c r="C33" s="39" t="n"/>
      <c r="D33" s="40" t="inlineStr">
        <is>
          <t>2 courts, ~16 hrs/wk across 10 game weeks; 45,000 sq ft facility opened 2021, two full courts</t>
        </is>
      </c>
    </row>
    <row r="34" ht="15" customHeight="1" s="32">
      <c r="A34" s="37" t="inlineStr">
        <is>
          <t>Practice facility rate per court-hour</t>
        </is>
      </c>
      <c r="B34" s="43" t="n">
        <v>90</v>
      </c>
      <c r="C34" s="39" t="n"/>
      <c r="D34" s="40" t="inlineStr">
        <is>
          <t>Market: $50-150/hr for quality indoor courts; university premium assumed</t>
        </is>
      </c>
    </row>
    <row r="35" ht="15" customHeight="1" s="32">
      <c r="A35" s="37" t="inlineStr">
        <is>
          <t>Curb Event Center days — Year 1</t>
        </is>
      </c>
      <c r="B35" s="38" t="n">
        <v>6</v>
      </c>
      <c r="C35" s="39" t="n"/>
      <c r="D35" s="40" t="inlineStr">
        <is>
          <t>Draft night + marquee weekends + championships. 5,085-seat arena</t>
        </is>
      </c>
    </row>
    <row r="36" ht="15" customHeight="1" s="32">
      <c r="A36" s="37" t="inlineStr">
        <is>
          <t>Curb Event Center days — Full Vision</t>
        </is>
      </c>
      <c r="B36" s="38" t="n">
        <v>20</v>
      </c>
      <c r="C36" s="39" t="n"/>
      <c r="D36" s="40" t="inlineStr">
        <is>
          <t>All game days in the arena, Unrivaled-style single-site look</t>
        </is>
      </c>
    </row>
    <row r="37" ht="15" customHeight="1" s="32">
      <c r="A37" s="37" t="inlineStr">
        <is>
          <t>Curb Event Center per event day</t>
        </is>
      </c>
      <c r="B37" s="43" t="n">
        <v>7500</v>
      </c>
      <c r="C37" s="39" t="n"/>
      <c r="D37" s="40" t="inlineStr">
        <is>
          <t>ESTIMATE. Comparable college arenas ~$2,500-10,000+/day plus staffing. Belmont does not publish rates</t>
        </is>
      </c>
    </row>
    <row r="38" ht="15" customHeight="1" s="32">
      <c r="A38" s="37" t="inlineStr">
        <is>
          <t>Combine + draft venue &amp; ops</t>
        </is>
      </c>
      <c r="B38" s="42" t="n">
        <v>30000</v>
      </c>
      <c r="C38" s="39" t="n"/>
      <c r="D38" s="40" t="inlineStr">
        <is>
          <t>2-day combine (testing, measurements, scrimmages) + televised-style draft night</t>
        </is>
      </c>
    </row>
    <row r="39"/>
    <row r="40" ht="15" customHeight="1" s="32">
      <c r="A40" s="36" t="inlineStr">
        <is>
          <t>PRODUCTION &amp; STREAMING</t>
        </is>
      </c>
    </row>
    <row r="41" ht="15" customHeight="1" s="32">
      <c r="A41" s="37" t="inlineStr">
        <is>
          <t>Marquee broadcast games — Year 1</t>
        </is>
      </c>
      <c r="B41" s="38" t="n">
        <v>16</v>
      </c>
      <c r="C41" s="39" t="n"/>
      <c r="D41" s="40" t="inlineStr">
        <is>
          <t>3-4 cameras, commentary, replay, graphics</t>
        </is>
      </c>
    </row>
    <row r="42" ht="15" customHeight="1" s="32">
      <c r="A42" s="37" t="inlineStr">
        <is>
          <t>Marquee broadcast games — Full Vision</t>
        </is>
      </c>
      <c r="B42" s="38" t="n">
        <v>60</v>
      </c>
      <c r="C42" s="39" t="n"/>
      <c r="D42" s="40" t="n"/>
    </row>
    <row r="43" ht="15" customHeight="1" s="32">
      <c r="A43" s="37" t="inlineStr">
        <is>
          <t>Cost per marquee game — Year 1</t>
        </is>
      </c>
      <c r="B43" s="43" t="n">
        <v>3500</v>
      </c>
      <c r="C43" s="39" t="n"/>
      <c r="D43" s="40" t="inlineStr">
        <is>
          <t>Real broadcast cameras + crew (no PTZ): 3-4 manned broadcast cams, switcher, replay, graphics, 2 commentators — via Belmont media-college partnership / Nashville freelance broadcast market</t>
        </is>
      </c>
    </row>
    <row r="44" ht="15" customHeight="1" s="32">
      <c r="A44" s="37" t="inlineStr">
        <is>
          <t>Cost per marquee game — Full Vision</t>
        </is>
      </c>
      <c r="B44" s="42" t="n">
        <v>6000</v>
      </c>
      <c r="C44" s="39" t="n"/>
      <c r="D44" s="40" t="inlineStr">
        <is>
          <t>8+ cam broadcast tier</t>
        </is>
      </c>
    </row>
    <row r="45" ht="15" customHeight="1" s="32">
      <c r="A45" s="37" t="inlineStr">
        <is>
          <t>Cost per standard-stream game</t>
        </is>
      </c>
      <c r="B45" s="42" t="n">
        <v>400</v>
      </c>
      <c r="C45" s="39" t="n"/>
      <c r="D45" s="40" t="inlineStr">
        <is>
          <t>Auto-cam (Pixellot/BallerTV-style) + student commentary; near-zero marginal cost after install</t>
        </is>
      </c>
    </row>
    <row r="46" ht="15" customHeight="1" s="32">
      <c r="A46" s="37" t="inlineStr">
        <is>
          <t>Cost per standard-stream game — Full Vision</t>
        </is>
      </c>
      <c r="B46" s="42" t="n">
        <v>1500</v>
      </c>
      <c r="C46" s="39" t="n"/>
      <c r="D46" s="40" t="n"/>
    </row>
    <row r="47"/>
    <row r="48" ht="15" customHeight="1" s="32">
      <c r="A48" s="36" t="inlineStr">
        <is>
          <t>PLAYER EXPERIENCE &amp; GEAR</t>
        </is>
      </c>
    </row>
    <row r="49" ht="15" customHeight="1" s="32">
      <c r="A49" s="37" t="inlineStr">
        <is>
          <t>Uniform/gear package per player — Year 1</t>
        </is>
      </c>
      <c r="B49" s="42" t="n">
        <v>220</v>
      </c>
      <c r="C49" s="39" t="n"/>
      <c r="D49" s="40" t="inlineStr">
        <is>
          <t>Sublimated home/away + shooting shirt + bag; premium packages run $120-250</t>
        </is>
      </c>
    </row>
    <row r="50" ht="15" customHeight="1" s="32">
      <c r="A50" s="37" t="inlineStr">
        <is>
          <t>Uniform/gear package per player — Full Vision</t>
        </is>
      </c>
      <c r="B50" s="42" t="n">
        <v>350</v>
      </c>
      <c r="C50" s="39" t="n"/>
      <c r="D50" s="40" t="inlineStr">
        <is>
          <t>True Nike/adidas team-catalog tier</t>
        </is>
      </c>
    </row>
    <row r="51" ht="15" customHeight="1" s="32">
      <c r="A51" s="37" t="inlineStr">
        <is>
          <t>Balls &amp; court equipment</t>
        </is>
      </c>
      <c r="B51" s="42" t="n">
        <v>6000</v>
      </c>
      <c r="C51" s="39" t="n"/>
      <c r="D51" s="40" t="inlineStr">
        <is>
          <t>~24 Wilson Evo NXT game balls (~$110 ea) + practice balls, carts, boards</t>
        </is>
      </c>
    </row>
    <row r="52" ht="15" customHeight="1" s="32">
      <c r="A52" s="37" t="inlineStr">
        <is>
          <t>Player meals/transport fund — Full Vision</t>
        </is>
      </c>
      <c r="B52" s="42" t="n">
        <v>80000</v>
      </c>
      <c r="C52" s="39" t="n"/>
      <c r="D52" s="40" t="n"/>
    </row>
    <row r="53" ht="15" customHeight="1" s="32">
      <c r="A53" s="37" t="inlineStr">
        <is>
          <t>Sponsor-funded player NIL/appearance pool — Full Vision</t>
        </is>
      </c>
      <c r="B53" s="42" t="n">
        <v>100000</v>
      </c>
      <c r="C53" s="39" t="n"/>
      <c r="D53" s="40" t="inlineStr">
        <is>
          <t>TSSAA allows HS NIL (Dec 2022, no cap) — no school marks, no coach facilitation</t>
        </is>
      </c>
    </row>
    <row r="54"/>
    <row r="55" ht="15" customHeight="1" s="32">
      <c r="A55" s="36" t="inlineStr">
        <is>
          <t>OTHER FIXED COSTS</t>
        </is>
      </c>
    </row>
    <row r="56" ht="15" customHeight="1" s="32">
      <c r="A56" s="37" t="inlineStr">
        <is>
          <t>Marketing &amp; brand — Year 1</t>
        </is>
      </c>
      <c r="B56" s="42" t="n">
        <v>45000</v>
      </c>
      <c r="C56" s="39" t="n"/>
      <c r="D56" s="40" t="inlineStr">
        <is>
          <t>Brand system, content creators, launch events, paid social, PR — the Unrivaled growth engine</t>
        </is>
      </c>
    </row>
    <row r="57" ht="15" customHeight="1" s="32">
      <c r="A57" s="37" t="inlineStr">
        <is>
          <t>Marketing &amp; brand — Full Vision</t>
        </is>
      </c>
      <c r="B57" s="42" t="n">
        <v>150000</v>
      </c>
      <c r="C57" s="39" t="n"/>
      <c r="D57" s="40" t="n"/>
    </row>
    <row r="58" ht="15" customHeight="1" s="32">
      <c r="A58" s="37" t="inlineStr">
        <is>
          <t>Insurance — Year 1</t>
        </is>
      </c>
      <c r="B58" s="42" t="n">
        <v>18000</v>
      </c>
      <c r="C58" s="39" t="n"/>
      <c r="D58" s="40" t="inlineStr">
        <is>
          <t>CGL $1M/$2M + accident medical, NCAA named additional insured (ECAG requirement)</t>
        </is>
      </c>
    </row>
    <row r="59" ht="15" customHeight="1" s="32">
      <c r="A59" s="37" t="inlineStr">
        <is>
          <t>Insurance — Full Vision</t>
        </is>
      </c>
      <c r="B59" s="42" t="n">
        <v>35000</v>
      </c>
      <c r="C59" s="39" t="n"/>
      <c r="D59" s="40" t="n"/>
    </row>
    <row r="60" ht="15" customHeight="1" s="32">
      <c r="A60" s="37" t="inlineStr">
        <is>
          <t>NCAA cert, USAB Gold licenses, background checks</t>
        </is>
      </c>
      <c r="B60" s="42" t="n">
        <v>6000</v>
      </c>
      <c r="C60" s="39" t="n"/>
      <c r="D60" s="40" t="inlineStr">
        <is>
          <t>ECAG: $30 operator + $50 app + $350 event; USAB Gold ~$68/coach x ~40; checks ~$15/staff</t>
        </is>
      </c>
    </row>
    <row r="61" ht="15" customHeight="1" s="32">
      <c r="A61" s="37" t="inlineStr">
        <is>
          <t>Tech &amp; stats — Year 1</t>
        </is>
      </c>
      <c r="B61" s="42" t="n">
        <v>15000</v>
      </c>
      <c r="C61" s="39" t="n"/>
      <c r="D61" s="40" t="inlineStr">
        <is>
          <t>Stats platform, website, registration, highlight tooling — stats packages are a recruiting differentiator</t>
        </is>
      </c>
    </row>
    <row r="62" ht="15" customHeight="1" s="32">
      <c r="A62" s="37" t="inlineStr">
        <is>
          <t>Tech &amp; stats — Full Vision</t>
        </is>
      </c>
      <c r="B62" s="42" t="n">
        <v>40000</v>
      </c>
      <c r="C62" s="39" t="n"/>
      <c r="D62" s="40" t="n"/>
    </row>
    <row r="63" ht="15" customHeight="1" s="32">
      <c r="A63" s="37" t="inlineStr">
        <is>
          <t>Legal, entity &amp; accounting — Year 1</t>
        </is>
      </c>
      <c r="B63" s="42" t="n">
        <v>12000</v>
      </c>
      <c r="C63" s="39" t="n"/>
      <c r="D63" s="40" t="inlineStr">
        <is>
          <t>TN nonprofit charter $100 + IRS 1023 $600 + charitable reg $50 + counsel/CPA</t>
        </is>
      </c>
    </row>
    <row r="64" ht="15" customHeight="1" s="32">
      <c r="A64" s="37" t="inlineStr">
        <is>
          <t>Legal &amp; accounting — Full Vision</t>
        </is>
      </c>
      <c r="B64" s="42" t="n">
        <v>30000</v>
      </c>
      <c r="C64" s="39" t="n"/>
      <c r="D64" s="40" t="n"/>
    </row>
    <row r="65" ht="15" customHeight="1" s="32">
      <c r="A65" s="37" t="inlineStr">
        <is>
          <t>Awards &amp; trophies — Year 1</t>
        </is>
      </c>
      <c r="B65" s="42" t="n">
        <v>6000</v>
      </c>
      <c r="C65" s="39" t="n"/>
      <c r="D65" s="40" t="n"/>
    </row>
    <row r="66" ht="15" customHeight="1" s="32">
      <c r="A66" s="37" t="inlineStr">
        <is>
          <t>Awards &amp; trophies — Full Vision</t>
        </is>
      </c>
      <c r="B66" s="42" t="n">
        <v>15000</v>
      </c>
      <c r="C66" s="39" t="n"/>
      <c r="D66" s="40" t="n"/>
    </row>
    <row r="67" ht="15" customHeight="1" s="32">
      <c r="A67" s="37" t="inlineStr">
        <is>
          <t>Travel &amp; hospitality — Year 1</t>
        </is>
      </c>
      <c r="B67" s="42" t="n">
        <v>8000</v>
      </c>
      <c r="C67" s="39" t="n"/>
      <c r="D67" s="40" t="n"/>
    </row>
    <row r="68" ht="15" customHeight="1" s="32">
      <c r="A68" s="37" t="inlineStr">
        <is>
          <t>Nationals travel subsidies — Full Vision</t>
        </is>
      </c>
      <c r="B68" s="42" t="n">
        <v>120000</v>
      </c>
      <c r="C68" s="39" t="n"/>
      <c r="D68" s="40" t="inlineStr">
        <is>
          <t>16 visiting teams x ~$7,500 toward travel/housing</t>
        </is>
      </c>
    </row>
    <row r="69" ht="15" customHeight="1" s="32">
      <c r="A69" s="37" t="inlineStr">
        <is>
          <t>Nationals event ops — Full Vision</t>
        </is>
      </c>
      <c r="B69" s="42" t="n">
        <v>60000</v>
      </c>
      <c r="C69" s="39" t="n"/>
      <c r="D69" s="40" t="n"/>
    </row>
    <row r="70" ht="15" customHeight="1" s="32">
      <c r="A70" s="37" t="inlineStr">
        <is>
          <t>Contingency %</t>
        </is>
      </c>
      <c r="B70" s="44" t="n">
        <v>0.1</v>
      </c>
      <c r="C70" s="39" t="n"/>
      <c r="D70" s="40" t="inlineStr">
        <is>
          <t>Stored as a fraction</t>
        </is>
      </c>
    </row>
    <row r="71"/>
    <row r="72" ht="15" customHeight="1" s="32">
      <c r="A72" s="36" t="inlineStr">
        <is>
          <t>REVENUE DRIVERS — Year 1 base case</t>
        </is>
      </c>
    </row>
    <row r="73" ht="15" customHeight="1" s="32">
      <c r="A73" s="37" t="inlineStr">
        <is>
          <t>Title sponsor</t>
        </is>
      </c>
      <c r="B73" s="43" t="n">
        <v>50000</v>
      </c>
      <c r="C73" s="39" t="n"/>
      <c r="D73" s="40" t="inlineStr">
        <is>
          <t>Regional property w/ streamed games: title runs $10K-50K (Prep AD method + ZipSprout data)</t>
        </is>
      </c>
    </row>
    <row r="74" ht="15" customHeight="1" s="32">
      <c r="A74" s="37" t="inlineStr">
        <is>
          <t>Presenting sponsors — count</t>
        </is>
      </c>
      <c r="B74" s="38" t="n">
        <v>2</v>
      </c>
      <c r="C74" s="39" t="n"/>
      <c r="D74" s="40" t="n"/>
    </row>
    <row r="75" ht="15" customHeight="1" s="32">
      <c r="A75" s="37" t="inlineStr">
        <is>
          <t>Presenting sponsors — price</t>
        </is>
      </c>
      <c r="B75" s="42" t="n">
        <v>25000</v>
      </c>
      <c r="C75" s="39" t="n"/>
      <c r="D75" s="40" t="n"/>
    </row>
    <row r="76" ht="15" customHeight="1" s="32">
      <c r="A76" s="37" t="inlineStr">
        <is>
          <t>Official category partners — count</t>
        </is>
      </c>
      <c r="B76" s="38" t="n">
        <v>5</v>
      </c>
      <c r="C76" s="39" t="n"/>
      <c r="D76" s="40" t="inlineStr">
        <is>
          <t>Ball, apparel, drink, recovery, bank etc. Category exclusivity commands 2-5x premium</t>
        </is>
      </c>
    </row>
    <row r="77" ht="15" customHeight="1" s="32">
      <c r="A77" s="37" t="inlineStr">
        <is>
          <t>Official category partners — price</t>
        </is>
      </c>
      <c r="B77" s="42" t="n">
        <v>10000</v>
      </c>
      <c r="C77" s="39" t="n"/>
      <c r="D77" s="40" t="n"/>
    </row>
    <row r="78" ht="15" customHeight="1" s="32">
      <c r="A78" s="37" t="inlineStr">
        <is>
          <t>Team jersey partners — count</t>
        </is>
      </c>
      <c r="B78" s="38" t="n">
        <v>12</v>
      </c>
      <c r="C78" s="39" t="n"/>
      <c r="D78" s="40" t="inlineStr">
        <is>
          <t>One local business per team (16 available)</t>
        </is>
      </c>
    </row>
    <row r="79" ht="15" customHeight="1" s="32">
      <c r="A79" s="37" t="inlineStr">
        <is>
          <t>Team jersey partners — price</t>
        </is>
      </c>
      <c r="B79" s="42" t="n">
        <v>5000</v>
      </c>
      <c r="C79" s="39" t="n"/>
      <c r="D79" s="40" t="n"/>
    </row>
    <row r="80" ht="15" customHeight="1" s="32">
      <c r="A80" s="37" t="inlineStr">
        <is>
          <t>Gate revenue — Year 1</t>
        </is>
      </c>
      <c r="B80" s="43" t="n">
        <v>120000</v>
      </c>
      <c r="C80" s="39" t="n"/>
      <c r="D80" s="40" t="inlineStr">
        <is>
          <t>6 arena days x ~1,500 x $12 + regular nights x ~250 x $8. Replace with ticket model as dates firm up</t>
        </is>
      </c>
    </row>
    <row r="81" ht="15" customHeight="1" s="32">
      <c r="A81" s="37" t="inlineStr">
        <is>
          <t>Streaming rev share / league pass — Year 1</t>
        </is>
      </c>
      <c r="B81" s="42" t="n">
        <v>15000</v>
      </c>
      <c r="C81" s="39" t="n"/>
      <c r="D81" s="40" t="inlineStr">
        <is>
          <t>BallerTV-style parent subscriptions rev share</t>
        </is>
      </c>
    </row>
    <row r="82" ht="15" customHeight="1" s="32">
      <c r="A82" s="37" t="inlineStr">
        <is>
          <t>Merchandise net — Year 1</t>
        </is>
      </c>
      <c r="B82" s="42" t="n">
        <v>20000</v>
      </c>
      <c r="C82" s="39" t="n"/>
      <c r="D82" s="40" t="n"/>
    </row>
    <row r="83" ht="15" customHeight="1" s="32">
      <c r="A83" s="37" t="inlineStr">
        <is>
          <t>Donations &amp; grants (501c3) — Year 1</t>
        </is>
      </c>
      <c r="B83" s="42" t="n">
        <v>60000</v>
      </c>
      <c r="C83" s="39" t="n"/>
      <c r="D83" s="40" t="inlineStr">
        <is>
          <t>Community foundations, youth-sports grants, individual donors</t>
        </is>
      </c>
    </row>
    <row r="84"/>
    <row r="85" ht="15" customHeight="1" s="32">
      <c r="A85" s="36" t="inlineStr">
        <is>
          <t>REVENUE DRIVERS — Full Vision</t>
        </is>
      </c>
    </row>
    <row r="86" ht="15" customHeight="1" s="32">
      <c r="A86" s="37" t="inlineStr">
        <is>
          <t>Title sponsor — Full Vision</t>
        </is>
      </c>
      <c r="B86" s="42" t="n">
        <v>250000</v>
      </c>
      <c r="C86" s="39" t="n"/>
      <c r="D86" s="40" t="inlineStr">
        <is>
          <t>Between regional ($50K) and minor-league pro ($500K) tiers once streamed + televised</t>
        </is>
      </c>
    </row>
    <row r="87" ht="15" customHeight="1" s="32">
      <c r="A87" s="37" t="inlineStr">
        <is>
          <t>All other sponsorship — Full Vision</t>
        </is>
      </c>
      <c r="B87" s="42" t="n">
        <v>750000</v>
      </c>
      <c r="C87" s="39" t="n"/>
      <c r="D87" s="40" t="inlineStr">
        <is>
          <t>Presenting, category, jersey, court, content series — see Sponsor Menu</t>
        </is>
      </c>
    </row>
    <row r="88" ht="15" customHeight="1" s="32">
      <c r="A88" s="37" t="inlineStr">
        <is>
          <t>Gate revenue — Full Vision</t>
        </is>
      </c>
      <c r="B88" s="42" t="n">
        <v>500000</v>
      </c>
      <c r="C88" s="39" t="n"/>
      <c r="D88" s="40" t="inlineStr">
        <is>
          <t>20 arena days x ~1,800 avg x $14</t>
        </is>
      </c>
    </row>
    <row r="89" ht="15" customHeight="1" s="32">
      <c r="A89" s="37" t="inlineStr">
        <is>
          <t>Media/streaming revenue — Full Vision</t>
        </is>
      </c>
      <c r="B89" s="42" t="n">
        <v>150000</v>
      </c>
      <c r="C89" s="39" t="n"/>
      <c r="D89" s="40" t="inlineStr">
        <is>
          <t>Time-buy/barter path to ESPN+ via packagers like Paragon; league pass</t>
        </is>
      </c>
    </row>
    <row r="90" ht="15" customHeight="1" s="32">
      <c r="A90" s="37" t="inlineStr">
        <is>
          <t>Merchandise net — Full Vision</t>
        </is>
      </c>
      <c r="B90" s="42" t="n">
        <v>60000</v>
      </c>
      <c r="C90" s="39" t="n"/>
      <c r="D90" s="40" t="n"/>
    </row>
    <row r="91" ht="15" customHeight="1" s="32">
      <c r="A91" s="37" t="inlineStr">
        <is>
          <t>Nationals team entry fees</t>
        </is>
      </c>
      <c r="B91" s="42" t="n">
        <v>80000</v>
      </c>
      <c r="C91" s="39" t="n"/>
      <c r="D91" s="40" t="inlineStr">
        <is>
          <t>16 invited teams x $5K (TBT charges $125K-250K at pro level)</t>
        </is>
      </c>
    </row>
    <row r="92" ht="15" customHeight="1" s="32">
      <c r="A92" s="37" t="inlineStr">
        <is>
          <t>Donations &amp; grants — Full Vision</t>
        </is>
      </c>
      <c r="B92" s="42" t="n">
        <v>100000</v>
      </c>
      <c r="C92" s="39" t="n"/>
      <c r="D92" s="40" t="n"/>
    </row>
  </sheetData>
  <mergeCells count="10">
    <mergeCell ref="A1:D1"/>
    <mergeCell ref="A40:D40"/>
    <mergeCell ref="A48:D48"/>
    <mergeCell ref="A3:D3"/>
    <mergeCell ref="A55:D55"/>
    <mergeCell ref="A72:D72"/>
    <mergeCell ref="A25:D25"/>
    <mergeCell ref="A19:D19"/>
    <mergeCell ref="A85:D85"/>
    <mergeCell ref="A32:D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1" min="1" max="1"/>
    <col width="16" customWidth="1" style="31" min="2" max="5"/>
    <col width="70" customWidth="1" style="31" min="6" max="6"/>
  </cols>
  <sheetData>
    <row r="1" ht="24" customHeight="1" s="32">
      <c r="A1" s="33" t="inlineStr">
        <is>
          <t>Staffing Plan — the team that runs everything</t>
        </is>
      </c>
    </row>
    <row r="3" ht="15" customHeight="1" s="32">
      <c r="A3" s="36" t="inlineStr">
        <is>
          <t>Role</t>
        </is>
      </c>
      <c r="B3" s="36" t="inlineStr">
        <is>
          <t>Type — Year 1</t>
        </is>
      </c>
      <c r="C3" s="36" t="inlineStr">
        <is>
          <t>Year 1 Comp</t>
        </is>
      </c>
      <c r="D3" s="36" t="inlineStr">
        <is>
          <t>Type — Full Vision</t>
        </is>
      </c>
      <c r="E3" s="36" t="inlineStr">
        <is>
          <t>Full Vision Comp</t>
        </is>
      </c>
      <c r="F3" s="36" t="inlineStr">
        <is>
          <t>What they own</t>
        </is>
      </c>
    </row>
    <row r="4" ht="15" customHeight="1" s="32">
      <c r="A4" s="36" t="inlineStr">
        <is>
          <t>FRONT OFFICE (league staff)</t>
        </is>
      </c>
    </row>
    <row r="5" ht="15" customHeight="1" s="32">
      <c r="A5" s="37" t="inlineStr">
        <is>
          <t>Commissioner / League President (founder)</t>
        </is>
      </c>
      <c r="B5" s="37" t="inlineStr">
        <is>
          <t>Founder stipend</t>
        </is>
      </c>
      <c r="C5" s="42" t="n">
        <v>25000</v>
      </c>
      <c r="D5" s="37" t="inlineStr">
        <is>
          <t>Full-time</t>
        </is>
      </c>
      <c r="E5" s="42" t="n">
        <v>120000</v>
      </c>
      <c r="F5" s="40" t="inlineStr">
        <is>
          <t>Vision, sponsor relationships, media deals, public face of the league</t>
        </is>
      </c>
    </row>
    <row r="6" ht="15" customHeight="1" s="32">
      <c r="A6" s="37" t="inlineStr">
        <is>
          <t>Director of Basketball Operations</t>
        </is>
      </c>
      <c r="B6" s="37" t="inlineStr">
        <is>
          <t>Seasonal contract</t>
        </is>
      </c>
      <c r="C6" s="42" t="n">
        <v>30000</v>
      </c>
      <c r="D6" s="37" t="inlineStr">
        <is>
          <t>Full-time</t>
        </is>
      </c>
      <c r="E6" s="42" t="n">
        <v>90000</v>
      </c>
      <c r="F6" s="40" t="inlineStr">
        <is>
          <t>Combine, draft, schedules, officials, rosters, competition rules</t>
        </is>
      </c>
    </row>
    <row r="7" ht="15" customHeight="1" s="32">
      <c r="A7" s="37" t="inlineStr">
        <is>
          <t>Director of Partnerships &amp; Revenue</t>
        </is>
      </c>
      <c r="B7" s="37" t="inlineStr">
        <is>
          <t>Seasonal + commission</t>
        </is>
      </c>
      <c r="C7" s="42" t="n">
        <v>25000</v>
      </c>
      <c r="D7" s="37" t="inlineStr">
        <is>
          <t>Full-time + commission</t>
        </is>
      </c>
      <c r="E7" s="42" t="n">
        <v>90000</v>
      </c>
      <c r="F7" s="40" t="inlineStr">
        <is>
          <t>Sponsor sales &amp; activation, ticketing, renewals. Add 10% commission on new sponsor revenue</t>
        </is>
      </c>
    </row>
    <row r="8" ht="15" customHeight="1" s="32">
      <c r="A8" s="37" t="inlineStr">
        <is>
          <t>Director of Media &amp; Content</t>
        </is>
      </c>
      <c r="B8" s="37" t="inlineStr">
        <is>
          <t>Seasonal contract</t>
        </is>
      </c>
      <c r="C8" s="42" t="n">
        <v>30000</v>
      </c>
      <c r="D8" s="37" t="inlineStr">
        <is>
          <t>Full-time</t>
        </is>
      </c>
      <c r="E8" s="42" t="n">
        <v>85000</v>
      </c>
      <c r="F8" s="40" t="inlineStr">
        <is>
          <t>Streaming, social, brand, highlight engine — the Unrivaled-style growth lever</t>
        </is>
      </c>
    </row>
    <row r="9" ht="15" customHeight="1" s="32">
      <c r="A9" s="37" t="inlineStr">
        <is>
          <t>Director of Events &amp; Logistics</t>
        </is>
      </c>
      <c r="B9" s="37" t="inlineStr">
        <is>
          <t>Seasonal contract</t>
        </is>
      </c>
      <c r="C9" s="42" t="n">
        <v>25000</v>
      </c>
      <c r="D9" s="37" t="inlineStr">
        <is>
          <t>Full-time</t>
        </is>
      </c>
      <c r="E9" s="42" t="n">
        <v>75000</v>
      </c>
      <c r="F9" s="40" t="inlineStr">
        <is>
          <t>Venue, game-day ops, vendors, security, medical coverage</t>
        </is>
      </c>
    </row>
    <row r="10" ht="15" customHeight="1" s="32">
      <c r="A10" s="37" t="inlineStr">
        <is>
          <t>Compliance &amp; Player Welfare Coordinator</t>
        </is>
      </c>
      <c r="B10" s="37" t="inlineStr">
        <is>
          <t>Part-time</t>
        </is>
      </c>
      <c r="C10" s="42" t="n">
        <v>12000</v>
      </c>
      <c r="D10" s="37" t="inlineStr">
        <is>
          <t>Full-time</t>
        </is>
      </c>
      <c r="E10" s="42" t="n">
        <v>65000</v>
      </c>
      <c r="F10" s="40" t="inlineStr">
        <is>
          <t>TSSAA/NCAA ECAG compliance, eligibility, SafeSport, background checks, parent comms</t>
        </is>
      </c>
    </row>
    <row r="11" ht="15" customHeight="1" s="32">
      <c r="A11" s="37" t="inlineStr">
        <is>
          <t>Finance &amp; Admin</t>
        </is>
      </c>
      <c r="B11" s="37" t="inlineStr">
        <is>
          <t>Fractional bookkeeper</t>
        </is>
      </c>
      <c r="C11" s="42" t="n">
        <v>8000</v>
      </c>
      <c r="D11" s="37" t="inlineStr">
        <is>
          <t>Full-time ops manager</t>
        </is>
      </c>
      <c r="E11" s="42" t="n">
        <v>65000</v>
      </c>
      <c r="F11" s="40" t="inlineStr">
        <is>
          <t>Books, payroll, registrations, insurance</t>
        </is>
      </c>
    </row>
    <row r="12" ht="15" customHeight="1" s="32">
      <c r="A12" s="37" t="inlineStr">
        <is>
          <t>Coordinators &amp; interns (Belmont/Lipscomb/TSU sport mgmt)</t>
        </is>
      </c>
      <c r="B12" s="37" t="inlineStr">
        <is>
          <t>Stipends</t>
        </is>
      </c>
      <c r="C12" s="42" t="n">
        <v>6000</v>
      </c>
      <c r="D12" s="37" t="inlineStr">
        <is>
          <t>4-6 paid coordinators</t>
        </is>
      </c>
      <c r="E12" s="42" t="n">
        <v>120000</v>
      </c>
      <c r="F12" s="40" t="inlineStr">
        <is>
          <t>Social clips, stats, team services, gameday support — recruit from local sport management programs</t>
        </is>
      </c>
    </row>
    <row r="14" ht="15" customHeight="1" s="32">
      <c r="A14" s="36" t="inlineStr">
        <is>
          <t>TEAM STAFF (16 teams: 8 boys, 8 girls)</t>
        </is>
      </c>
    </row>
    <row r="15" ht="15" customHeight="1" s="32">
      <c r="A15" s="37" t="inlineStr">
        <is>
          <t>Head Coaches x16</t>
        </is>
      </c>
      <c r="B15" s="37" t="inlineStr">
        <is>
          <t>Season stipend $3,500 ea</t>
        </is>
      </c>
      <c r="C15" s="42" t="n">
        <v>56000</v>
      </c>
      <c r="D15" s="37" t="inlineStr">
        <is>
          <t>$8,000 ea</t>
        </is>
      </c>
      <c r="E15" s="42" t="n">
        <v>128000</v>
      </c>
      <c r="F15" s="40" t="inlineStr">
        <is>
          <t>Recruit college assistants, former pros, top trainers — NOT the players' own HS coaches (avoids TSSAA dead-period conflicts)</t>
        </is>
      </c>
    </row>
    <row r="16" ht="15" customHeight="1" s="32">
      <c r="A16" s="37" t="inlineStr">
        <is>
          <t>Assistant Coaches x16</t>
        </is>
      </c>
      <c r="B16" s="37" t="inlineStr">
        <is>
          <t>Season stipend $1,750 ea</t>
        </is>
      </c>
      <c r="C16" s="42" t="n">
        <v>28000</v>
      </c>
      <c r="D16" s="37" t="inlineStr">
        <is>
          <t>$4,000 ea</t>
        </is>
      </c>
      <c r="E16" s="42" t="n">
        <v>64000</v>
      </c>
      <c r="F16" s="40" t="inlineStr">
        <is>
          <t>One per team; development focus</t>
        </is>
      </c>
    </row>
    <row r="17" ht="15" customHeight="1" s="32">
      <c r="A17" s="37" t="inlineStr">
        <is>
          <t>Interim/floater coach pool (4-6)</t>
        </is>
      </c>
      <c r="B17" s="37" t="inlineStr">
        <is>
          <t>Per-game stipends</t>
        </is>
      </c>
      <c r="C17" s="42" t="n">
        <v>6000</v>
      </c>
      <c r="D17" s="37" t="inlineStr">
        <is>
          <t>Per-game stipends</t>
        </is>
      </c>
      <c r="E17" s="42" t="n">
        <v>12000</v>
      </c>
      <c r="F17" s="40" t="inlineStr">
        <is>
          <t>League-wide substitutes covering absences — your 'interim coach' insurance policy</t>
        </is>
      </c>
    </row>
    <row r="19" ht="15" customHeight="1" s="32">
      <c r="A19" s="36" t="inlineStr">
        <is>
          <t>GAME-DAY &amp; PRODUCTION (variable — costed in the budget tabs, listed here for completeness)</t>
        </is>
      </c>
    </row>
    <row r="20" ht="15" customHeight="1" s="32">
      <c r="A20" s="37" t="inlineStr">
        <is>
          <t>Officials (3-person certified crews)</t>
        </is>
      </c>
      <c r="B20" s="45" t="n"/>
      <c r="C20" s="45" t="n"/>
      <c r="D20" s="45" t="n"/>
      <c r="E20" s="45" t="n"/>
      <c r="F20" s="40" t="inlineStr">
        <is>
          <t>Costed per game in budget tabs</t>
        </is>
      </c>
    </row>
    <row r="21" ht="15" customHeight="1" s="32">
      <c r="A21" s="37" t="inlineStr">
        <is>
          <t>Certified athletic trainers</t>
        </is>
      </c>
      <c r="B21" s="45" t="n"/>
      <c r="C21" s="45" t="n"/>
      <c r="D21" s="45" t="n"/>
      <c r="E21" s="45" t="n"/>
      <c r="F21" s="40" t="inlineStr">
        <is>
          <t>Required at every facility by NCAA ECAG; costed per event day</t>
        </is>
      </c>
    </row>
    <row r="22" ht="15" customHeight="1" s="32">
      <c r="A22" s="37" t="inlineStr">
        <is>
          <t>Scorekeepers, clock, PA announcer, DJ, gate, security</t>
        </is>
      </c>
      <c r="B22" s="45" t="n"/>
      <c r="C22" s="45" t="n"/>
      <c r="D22" s="45" t="n"/>
      <c r="E22" s="45" t="n"/>
      <c r="F22" s="40" t="inlineStr">
        <is>
          <t>Costed per event day</t>
        </is>
      </c>
    </row>
    <row r="23" ht="15" customHeight="1" s="32">
      <c r="A23" s="37" t="inlineStr">
        <is>
          <t>Producer, camera ops, commentators, highlight cutters, photographer</t>
        </is>
      </c>
      <c r="B23" s="45" t="n"/>
      <c r="C23" s="45" t="n"/>
      <c r="D23" s="45" t="n"/>
      <c r="E23" s="45" t="n"/>
      <c r="F23" s="40" t="inlineStr">
        <is>
          <t>Costed per game in production lines</t>
        </is>
      </c>
    </row>
    <row r="25" ht="15" customHeight="1" s="32">
      <c r="A25" s="34" t="inlineStr">
        <is>
          <t>TOTAL — Front office</t>
        </is>
      </c>
      <c r="C25" s="46">
        <f>SUM(C5:C12)</f>
        <v/>
      </c>
      <c r="E25" s="46">
        <f>SUM(E5:E12)</f>
        <v/>
      </c>
    </row>
    <row r="26" ht="15" customHeight="1" s="32">
      <c r="A26" s="34" t="inlineStr">
        <is>
          <t>TOTAL — Team staff (coaches)</t>
        </is>
      </c>
      <c r="C26" s="46">
        <f>SUM(C15:C17)</f>
        <v/>
      </c>
      <c r="E26" s="46">
        <f>SUM(E15:E17)</f>
        <v/>
      </c>
    </row>
  </sheetData>
  <mergeCells count="4">
    <mergeCell ref="A19:F19"/>
    <mergeCell ref="A14:F14"/>
    <mergeCell ref="A1:F1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31" min="1" max="1"/>
    <col width="16" customWidth="1" style="31" min="2" max="2"/>
    <col width="4" customWidth="1" style="31" min="3" max="3"/>
    <col width="85" customWidth="1" style="31" min="4" max="4"/>
  </cols>
  <sheetData>
    <row r="1" ht="24" customHeight="1" s="32">
      <c r="A1" s="33" t="inlineStr">
        <is>
          <t>Year 1 Budget: Year 1 (Summer 2027) — lean but legit</t>
        </is>
      </c>
    </row>
    <row r="3" ht="15" customHeight="1" s="32">
      <c r="A3" s="36" t="inlineStr">
        <is>
          <t>EXPENSES</t>
        </is>
      </c>
    </row>
    <row r="4" ht="15" customHeight="1" s="32">
      <c r="A4" s="37" t="inlineStr">
        <is>
          <t>Venue — practice facility court time</t>
        </is>
      </c>
      <c r="B4" s="47">
        <f>Assumptions!$B$33*Assumptions!$B$34</f>
        <v/>
      </c>
      <c r="C4" s="45" t="n"/>
      <c r="D4" s="40" t="inlineStr">
        <is>
          <t>2 courts at Belmont's 2021 practice facility</t>
        </is>
      </c>
    </row>
    <row r="5" ht="15" customHeight="1" s="32">
      <c r="A5" s="37" t="inlineStr">
        <is>
          <t>Venue — Curb Event Center days</t>
        </is>
      </c>
      <c r="B5" s="47">
        <f>Assumptions!$B$35*Assumptions!$B$37</f>
        <v/>
      </c>
      <c r="C5" s="45" t="n"/>
      <c r="D5" s="40" t="inlineStr">
        <is>
          <t>Draft night, marquee weekends, championships (5,085 seats)</t>
        </is>
      </c>
    </row>
    <row r="6" ht="15" customHeight="1" s="32">
      <c r="A6" s="37" t="inlineStr">
        <is>
          <t>Combine + draft events</t>
        </is>
      </c>
      <c r="B6" s="47">
        <f>Assumptions!$B$38</f>
        <v/>
      </c>
      <c r="C6" s="45" t="n"/>
      <c r="D6" s="40" t="inlineStr">
        <is>
          <t>2-day combine with testing/measurements + a produced draft night</t>
        </is>
      </c>
    </row>
    <row r="7" ht="15" customHeight="1" s="32">
      <c r="A7" s="37" t="inlineStr">
        <is>
          <t>Officials</t>
        </is>
      </c>
      <c r="B7" s="47">
        <f>(Assumptions!$B$13+Assumptions!$B$14)*Assumptions!$B$27*Assumptions!$B$26</f>
        <v/>
      </c>
      <c r="C7" s="45" t="n"/>
      <c r="D7" s="40" t="inlineStr">
        <is>
          <t>3-person certified crews, every game</t>
        </is>
      </c>
    </row>
    <row r="8" ht="15" customHeight="1" s="32">
      <c r="A8" s="37" t="inlineStr">
        <is>
          <t>Athletic trainers / medical</t>
        </is>
      </c>
      <c r="B8" s="47">
        <f>Assumptions!$B$16*Assumptions!$B$28</f>
        <v/>
      </c>
      <c r="C8" s="45" t="n"/>
      <c r="D8" s="40" t="inlineStr">
        <is>
          <t>Certified AT at every event day (NCAA ECAG requirement)</t>
        </is>
      </c>
    </row>
    <row r="9" ht="15" customHeight="1" s="32">
      <c r="A9" s="37" t="inlineStr">
        <is>
          <t>Game-day operations</t>
        </is>
      </c>
      <c r="B9" s="47">
        <f>Assumptions!$B$16*Assumptions!$B$29</f>
        <v/>
      </c>
      <c r="C9" s="45" t="n"/>
      <c r="D9" s="40" t="inlineStr">
        <is>
          <t>Scorekeepers, clock, PA/DJ, gate, security</t>
        </is>
      </c>
    </row>
    <row r="10" ht="15" customHeight="1" s="32">
      <c r="A10" s="37" t="inlineStr">
        <is>
          <t>Front office</t>
        </is>
      </c>
      <c r="B10" s="48">
        <f>'Staffing Plan'!$C$25</f>
        <v/>
      </c>
      <c r="C10" s="45" t="n"/>
      <c r="D10" s="40" t="inlineStr">
        <is>
          <t>See Staffing Plan tab</t>
        </is>
      </c>
    </row>
    <row r="11" ht="15" customHeight="1" s="32">
      <c r="A11" s="37" t="inlineStr">
        <is>
          <t>Coaches (16 HC + 16 AC + interim pool)</t>
        </is>
      </c>
      <c r="B11" s="48">
        <f>'Staffing Plan'!$C$26</f>
        <v/>
      </c>
      <c r="C11" s="45" t="n"/>
      <c r="D11" s="40" t="inlineStr">
        <is>
          <t>See Staffing Plan tab</t>
        </is>
      </c>
    </row>
    <row r="12" ht="15" customHeight="1" s="32">
      <c r="A12" s="37" t="inlineStr">
        <is>
          <t>Uniforms &amp; player gear</t>
        </is>
      </c>
      <c r="B12" s="47">
        <f>Assumptions!$B$8*Assumptions!$B$49</f>
        <v/>
      </c>
      <c r="C12" s="45" t="n"/>
      <c r="D12" s="40" t="inlineStr">
        <is>
          <t>Premium sublimated home/away kits + bag</t>
        </is>
      </c>
    </row>
    <row r="13" ht="15" customHeight="1" s="32">
      <c r="A13" s="37" t="inlineStr">
        <is>
          <t>Balls &amp; equipment</t>
        </is>
      </c>
      <c r="B13" s="47">
        <f>Assumptions!$B$51</f>
        <v/>
      </c>
      <c r="C13" s="45" t="n"/>
      <c r="D13" s="40" t="inlineStr">
        <is>
          <t>Wilson Evo NXT game balls + court equipment</t>
        </is>
      </c>
    </row>
    <row r="14" ht="15" customHeight="1" s="32">
      <c r="A14" s="37" t="inlineStr">
        <is>
          <t>Production — marquee broadcast games</t>
        </is>
      </c>
      <c r="B14" s="47">
        <f>Assumptions!$B$41*Assumptions!$B$43</f>
        <v/>
      </c>
      <c r="C14" s="45" t="n"/>
      <c r="D14" s="40" t="inlineStr">
        <is>
          <t>3-4 cams, commentary, graphics, replay</t>
        </is>
      </c>
    </row>
    <row r="15" ht="15" customHeight="1" s="32">
      <c r="A15" s="37" t="inlineStr">
        <is>
          <t>Production — standard streams (all other games)</t>
        </is>
      </c>
      <c r="B15" s="47">
        <f>((Assumptions!$B$13+Assumptions!$B$14)-Assumptions!$B$41)*Assumptions!$B$45</f>
        <v/>
      </c>
      <c r="C15" s="45" t="n"/>
      <c r="D15" s="40" t="inlineStr">
        <is>
          <t>Auto-cam + student commentary; every game streamed</t>
        </is>
      </c>
    </row>
    <row r="16" ht="15" customHeight="1" s="32">
      <c r="A16" s="37" t="inlineStr">
        <is>
          <t>Marketing &amp; brand</t>
        </is>
      </c>
      <c r="B16" s="47">
        <f>Assumptions!$B$56</f>
        <v/>
      </c>
      <c r="C16" s="45" t="n"/>
      <c r="D16" s="40" t="inlineStr">
        <is>
          <t>Brand system, content team, launch, paid social, PR</t>
        </is>
      </c>
    </row>
    <row r="17" ht="15" customHeight="1" s="32">
      <c r="A17" s="37" t="inlineStr">
        <is>
          <t>Insurance</t>
        </is>
      </c>
      <c r="B17" s="47">
        <f>Assumptions!$B$58</f>
        <v/>
      </c>
      <c r="C17" s="45" t="n"/>
      <c r="D17" s="40" t="inlineStr">
        <is>
          <t>CGL $1M/$2M + accident medical, NCAA additional insured</t>
        </is>
      </c>
    </row>
    <row r="18" ht="15" customHeight="1" s="32">
      <c r="A18" s="37" t="inlineStr">
        <is>
          <t>Compliance (NCAA cert, USAB licenses, checks)</t>
        </is>
      </c>
      <c r="B18" s="47">
        <f>Assumptions!$B$60</f>
        <v/>
      </c>
      <c r="C18" s="45" t="n"/>
      <c r="D18" s="40" t="n"/>
    </row>
    <row r="19" ht="15" customHeight="1" s="32">
      <c r="A19" s="37" t="inlineStr">
        <is>
          <t>Tech &amp; stats</t>
        </is>
      </c>
      <c r="B19" s="47">
        <f>Assumptions!$B$61</f>
        <v/>
      </c>
      <c r="C19" s="45" t="n"/>
      <c r="D19" s="40" t="n"/>
    </row>
    <row r="20" ht="15" customHeight="1" s="32">
      <c r="A20" s="37" t="inlineStr">
        <is>
          <t>Legal, entity &amp; accounting</t>
        </is>
      </c>
      <c r="B20" s="47">
        <f>Assumptions!$B$63</f>
        <v/>
      </c>
      <c r="C20" s="45" t="n"/>
      <c r="D20" s="40" t="inlineStr">
        <is>
          <t>501(c)(3) formation + counsel</t>
        </is>
      </c>
    </row>
    <row r="21" ht="15" customHeight="1" s="32">
      <c r="A21" s="37" t="inlineStr">
        <is>
          <t>Awards &amp; trophies</t>
        </is>
      </c>
      <c r="B21" s="47">
        <f>Assumptions!$B$65</f>
        <v/>
      </c>
      <c r="C21" s="45" t="n"/>
      <c r="D21" s="40" t="n"/>
    </row>
    <row r="22" ht="15" customHeight="1" s="32">
      <c r="A22" s="37" t="inlineStr">
        <is>
          <t>Travel &amp; hospitality</t>
        </is>
      </c>
      <c r="B22" s="47">
        <f>Assumptions!$B$67</f>
        <v/>
      </c>
      <c r="C22" s="45" t="n"/>
      <c r="D22" s="40" t="n"/>
    </row>
    <row r="23" ht="15" customHeight="1" s="32">
      <c r="A23" s="34" t="inlineStr">
        <is>
          <t>Subtotal</t>
        </is>
      </c>
      <c r="B23" s="49">
        <f>SUM(B4:B22)</f>
        <v/>
      </c>
    </row>
    <row r="24" ht="15" customHeight="1" s="32">
      <c r="A24" s="50" t="inlineStr">
        <is>
          <t>Contingency</t>
        </is>
      </c>
      <c r="B24" s="51">
        <f>B23*Assumptions!$B$70</f>
        <v/>
      </c>
    </row>
    <row r="25" ht="15" customHeight="1" s="32">
      <c r="A25" s="52" t="inlineStr">
        <is>
          <t>TOTAL EXPENSES</t>
        </is>
      </c>
      <c r="B25" s="53">
        <f>B23+B24</f>
        <v/>
      </c>
    </row>
    <row r="27" ht="15" customHeight="1" s="32">
      <c r="A27" s="36" t="inlineStr">
        <is>
          <t>REVENUE (base case — see Revenue Scenarios tab)</t>
        </is>
      </c>
    </row>
    <row r="28" ht="15" customHeight="1" s="32">
      <c r="A28" s="37" t="inlineStr">
        <is>
          <t>Tryout fees</t>
        </is>
      </c>
      <c r="B28" s="47">
        <f>Assumptions!$B$20*Assumptions!$B$21</f>
        <v/>
      </c>
      <c r="C28" s="45" t="n"/>
      <c r="D28" s="40" t="inlineStr">
        <is>
          <t>Credited toward season fee for drafted players — netted in the player-fee line note</t>
        </is>
      </c>
    </row>
    <row r="29" ht="15" customHeight="1" s="32">
      <c r="A29" s="37" t="inlineStr">
        <is>
          <t>Player season fees</t>
        </is>
      </c>
      <c r="B29" s="47">
        <f>Assumptions!$B$8*Assumptions!$B$22</f>
        <v/>
      </c>
      <c r="C29" s="45" t="n"/>
      <c r="D29" s="40" t="inlineStr">
        <is>
          <t>Net of tryout credit; ~10x cheaper than an AAU summer</t>
        </is>
      </c>
    </row>
    <row r="30" ht="15" customHeight="1" s="32">
      <c r="A30" s="37" t="inlineStr">
        <is>
          <t>Title sponsor</t>
        </is>
      </c>
      <c r="B30" s="47">
        <f>Assumptions!$B$73</f>
        <v/>
      </c>
      <c r="C30" s="45" t="n"/>
      <c r="D30" s="40" t="n"/>
    </row>
    <row r="31" ht="15" customHeight="1" s="32">
      <c r="A31" s="37" t="inlineStr">
        <is>
          <t>Presenting sponsors</t>
        </is>
      </c>
      <c r="B31" s="47">
        <f>Assumptions!$B$74*Assumptions!$B$75</f>
        <v/>
      </c>
      <c r="C31" s="45" t="n"/>
      <c r="D31" s="40" t="n"/>
    </row>
    <row r="32" ht="15" customHeight="1" s="32">
      <c r="A32" s="37" t="inlineStr">
        <is>
          <t>Official category partners</t>
        </is>
      </c>
      <c r="B32" s="47">
        <f>Assumptions!$B$76*Assumptions!$B$77</f>
        <v/>
      </c>
      <c r="C32" s="45" t="n"/>
      <c r="D32" s="40" t="n"/>
    </row>
    <row r="33" ht="15" customHeight="1" s="32">
      <c r="A33" s="37" t="inlineStr">
        <is>
          <t>Team jersey partners</t>
        </is>
      </c>
      <c r="B33" s="47">
        <f>Assumptions!$B$78*Assumptions!$B$79</f>
        <v/>
      </c>
      <c r="C33" s="45" t="n"/>
      <c r="D33" s="40" t="n"/>
    </row>
    <row r="34" ht="15" customHeight="1" s="32">
      <c r="A34" s="37" t="inlineStr">
        <is>
          <t>Gate / tickets</t>
        </is>
      </c>
      <c r="B34" s="47">
        <f>Assumptions!$B$80</f>
        <v/>
      </c>
      <c r="C34" s="45" t="n"/>
      <c r="D34" s="40" t="n"/>
    </row>
    <row r="35" ht="15" customHeight="1" s="32">
      <c r="A35" s="37" t="inlineStr">
        <is>
          <t>Streaming rev share / league pass</t>
        </is>
      </c>
      <c r="B35" s="47">
        <f>Assumptions!$B$81</f>
        <v/>
      </c>
      <c r="C35" s="45" t="n"/>
      <c r="D35" s="40" t="n"/>
    </row>
    <row r="36" ht="15" customHeight="1" s="32">
      <c r="A36" s="37" t="inlineStr">
        <is>
          <t>Merchandise (net)</t>
        </is>
      </c>
      <c r="B36" s="47">
        <f>Assumptions!$B$82</f>
        <v/>
      </c>
      <c r="C36" s="45" t="n"/>
      <c r="D36" s="40" t="n"/>
    </row>
    <row r="37" ht="15" customHeight="1" s="32">
      <c r="A37" s="37" t="inlineStr">
        <is>
          <t>Donations &amp; grants (501c3)</t>
        </is>
      </c>
      <c r="B37" s="47">
        <f>Assumptions!$B$83</f>
        <v/>
      </c>
      <c r="C37" s="45" t="n"/>
      <c r="D37" s="40" t="n"/>
    </row>
    <row r="38" ht="15" customHeight="1" s="32">
      <c r="A38" s="52" t="inlineStr">
        <is>
          <t>TOTAL REVENUE</t>
        </is>
      </c>
      <c r="B38" s="53">
        <f>SUM(B28:B37)</f>
        <v/>
      </c>
    </row>
    <row r="40" ht="15" customHeight="1" s="32">
      <c r="A40" s="52" t="inlineStr">
        <is>
          <t>NET SURPLUS / (FUNDING GAP)</t>
        </is>
      </c>
      <c r="B40" s="54">
        <f>B38-B25</f>
        <v/>
      </c>
      <c r="D40" s="55" t="inlineStr">
        <is>
          <t>A gap here = the founding-capital raise you need (investors, founding partners, grants)</t>
        </is>
      </c>
    </row>
  </sheetData>
  <mergeCells count="3">
    <mergeCell ref="A1:D1"/>
    <mergeCell ref="A27:D27"/>
    <mergeCell ref="A3:D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31" min="1" max="1"/>
    <col width="16" customWidth="1" style="31" min="2" max="2"/>
    <col width="4" customWidth="1" style="31" min="3" max="3"/>
    <col width="85" customWidth="1" style="31" min="4" max="4"/>
  </cols>
  <sheetData>
    <row r="1" ht="24" customHeight="1" s="32">
      <c r="A1" s="33" t="inlineStr">
        <is>
          <t>Full Vision Budget: Full Vision (Year 3+) — the Unrivaled-scale version</t>
        </is>
      </c>
    </row>
    <row r="3" ht="15" customHeight="1" s="32">
      <c r="A3" s="36" t="inlineStr">
        <is>
          <t>EXPENSES</t>
        </is>
      </c>
    </row>
    <row r="4" ht="15" customHeight="1" s="32">
      <c r="A4" s="37" t="inlineStr">
        <is>
          <t>Venue — practice facility court time</t>
        </is>
      </c>
      <c r="B4" s="47">
        <f>Assumptions!$B$33*Assumptions!$B$34</f>
        <v/>
      </c>
      <c r="C4" s="45" t="n"/>
      <c r="D4" s="40" t="n"/>
    </row>
    <row r="5" ht="15" customHeight="1" s="32">
      <c r="A5" s="37" t="inlineStr">
        <is>
          <t>Venue — Curb Event Center days</t>
        </is>
      </c>
      <c r="B5" s="47">
        <f>Assumptions!$B$36*Assumptions!$B$37</f>
        <v/>
      </c>
      <c r="C5" s="45" t="n"/>
      <c r="D5" s="40" t="inlineStr">
        <is>
          <t>Every game day in the arena — single-site, Unrivaled-style</t>
        </is>
      </c>
    </row>
    <row r="6" ht="15" customHeight="1" s="32">
      <c r="A6" s="37" t="inlineStr">
        <is>
          <t>Combine + draft events</t>
        </is>
      </c>
      <c r="B6" s="47">
        <f>Assumptions!$B$38*2.5</f>
        <v/>
      </c>
      <c r="C6" s="45" t="n"/>
      <c r="D6" s="40" t="inlineStr">
        <is>
          <t>Bigger produced combine + televised-style draft</t>
        </is>
      </c>
    </row>
    <row r="7" ht="15" customHeight="1" s="32">
      <c r="A7" s="37" t="inlineStr">
        <is>
          <t>Officials</t>
        </is>
      </c>
      <c r="B7" s="47">
        <f>(Assumptions!$B$13+Assumptions!$B$15)*Assumptions!$B$27*(Assumptions!$B$26+15)</f>
        <v/>
      </c>
      <c r="C7" s="45" t="n"/>
      <c r="D7" s="40" t="inlineStr">
        <is>
          <t>Rate premium for top crews</t>
        </is>
      </c>
    </row>
    <row r="8" ht="15" customHeight="1" s="32">
      <c r="A8" s="37" t="inlineStr">
        <is>
          <t>Athletic trainers / medical</t>
        </is>
      </c>
      <c r="B8" s="47">
        <f>Assumptions!$B$17*(Assumptions!$B$28+50)</f>
        <v/>
      </c>
      <c r="C8" s="45" t="n"/>
      <c r="D8" s="40" t="n"/>
    </row>
    <row r="9" ht="15" customHeight="1" s="32">
      <c r="A9" s="37" t="inlineStr">
        <is>
          <t>Game-day operations</t>
        </is>
      </c>
      <c r="B9" s="47">
        <f>Assumptions!$B$17*Assumptions!$B$30</f>
        <v/>
      </c>
      <c r="C9" s="45" t="n"/>
      <c r="D9" s="40" t="n"/>
    </row>
    <row r="10" ht="15" customHeight="1" s="32">
      <c r="A10" s="37" t="inlineStr">
        <is>
          <t>Front office (full-time)</t>
        </is>
      </c>
      <c r="B10" s="48">
        <f>'Staffing Plan'!$E$25</f>
        <v/>
      </c>
      <c r="C10" s="45" t="n"/>
      <c r="D10" s="40" t="inlineStr">
        <is>
          <t>See Staffing Plan tab</t>
        </is>
      </c>
    </row>
    <row r="11" ht="15" customHeight="1" s="32">
      <c r="A11" s="37" t="inlineStr">
        <is>
          <t>Coaches</t>
        </is>
      </c>
      <c r="B11" s="48">
        <f>'Staffing Plan'!$E$26</f>
        <v/>
      </c>
      <c r="C11" s="45" t="n"/>
      <c r="D11" s="40" t="inlineStr">
        <is>
          <t>See Staffing Plan tab</t>
        </is>
      </c>
    </row>
    <row r="12" ht="15" customHeight="1" s="32">
      <c r="A12" s="37" t="inlineStr">
        <is>
          <t>Uniforms &amp; player gear</t>
        </is>
      </c>
      <c r="B12" s="47">
        <f>Assumptions!$B$8*Assumptions!$B$50</f>
        <v/>
      </c>
      <c r="C12" s="45" t="n"/>
      <c r="D12" s="40" t="inlineStr">
        <is>
          <t>True team-catalog tier</t>
        </is>
      </c>
    </row>
    <row r="13" ht="15" customHeight="1" s="32">
      <c r="A13" s="37" t="inlineStr">
        <is>
          <t>Balls &amp; equipment</t>
        </is>
      </c>
      <c r="B13" s="47">
        <f>Assumptions!$B$51*1.5</f>
        <v/>
      </c>
      <c r="C13" s="45" t="n"/>
      <c r="D13" s="40" t="n"/>
    </row>
    <row r="14" ht="15" customHeight="1" s="32">
      <c r="A14" s="37" t="inlineStr">
        <is>
          <t>Production — marquee broadcast games</t>
        </is>
      </c>
      <c r="B14" s="47">
        <f>Assumptions!$B$42*Assumptions!$B$44</f>
        <v/>
      </c>
      <c r="C14" s="45" t="n"/>
      <c r="D14" s="40" t="inlineStr">
        <is>
          <t>Broadcast-quality tier — the reel that gets you to ESPN conversations</t>
        </is>
      </c>
    </row>
    <row r="15" ht="15" customHeight="1" s="32">
      <c r="A15" s="37" t="inlineStr">
        <is>
          <t>Production — standard streams</t>
        </is>
      </c>
      <c r="B15" s="47">
        <f>((Assumptions!$B$13+Assumptions!$B$15)-Assumptions!$B$42)*Assumptions!$B$46</f>
        <v/>
      </c>
      <c r="C15" s="45" t="n"/>
      <c r="D15" s="40" t="n"/>
    </row>
    <row r="16" ht="15" customHeight="1" s="32">
      <c r="A16" s="37" t="inlineStr">
        <is>
          <t>Player meals &amp; transport</t>
        </is>
      </c>
      <c r="B16" s="47">
        <f>Assumptions!$B$52</f>
        <v/>
      </c>
      <c r="C16" s="45" t="n"/>
      <c r="D16" s="40" t="n"/>
    </row>
    <row r="17" ht="15" customHeight="1" s="32">
      <c r="A17" s="37" t="inlineStr">
        <is>
          <t>Sponsor-funded player NIL/appearance pool</t>
        </is>
      </c>
      <c r="B17" s="47">
        <f>Assumptions!$B$53</f>
        <v/>
      </c>
      <c r="C17" s="45" t="n"/>
      <c r="D17" s="40" t="inlineStr">
        <is>
          <t>Legal under TSSAA NIL policy — no school marks, no coach facilitation</t>
        </is>
      </c>
    </row>
    <row r="18" ht="15" customHeight="1" s="32">
      <c r="A18" s="37" t="inlineStr">
        <is>
          <t>Nationals — travel subsidies for invited teams</t>
        </is>
      </c>
      <c r="B18" s="47">
        <f>Assumptions!$B$68</f>
        <v/>
      </c>
      <c r="C18" s="45" t="n"/>
      <c r="D18" s="40" t="n"/>
    </row>
    <row r="19" ht="15" customHeight="1" s="32">
      <c r="A19" s="37" t="inlineStr">
        <is>
          <t>Nationals — event operations</t>
        </is>
      </c>
      <c r="B19" s="47">
        <f>Assumptions!$B$69</f>
        <v/>
      </c>
      <c r="C19" s="45" t="n"/>
      <c r="D19" s="40" t="n"/>
    </row>
    <row r="20" ht="15" customHeight="1" s="32">
      <c r="A20" s="37" t="inlineStr">
        <is>
          <t>Marketing &amp; brand</t>
        </is>
      </c>
      <c r="B20" s="47">
        <f>Assumptions!$B$57</f>
        <v/>
      </c>
      <c r="C20" s="45" t="n"/>
      <c r="D20" s="40" t="n"/>
    </row>
    <row r="21" ht="15" customHeight="1" s="32">
      <c r="A21" s="37" t="inlineStr">
        <is>
          <t>Insurance</t>
        </is>
      </c>
      <c r="B21" s="47">
        <f>Assumptions!$B$59</f>
        <v/>
      </c>
      <c r="C21" s="45" t="n"/>
      <c r="D21" s="40" t="n"/>
    </row>
    <row r="22" ht="15" customHeight="1" s="32">
      <c r="A22" s="37" t="inlineStr">
        <is>
          <t>Compliance</t>
        </is>
      </c>
      <c r="B22" s="47">
        <f>Assumptions!$B$60*1.5</f>
        <v/>
      </c>
      <c r="C22" s="45" t="n"/>
      <c r="D22" s="40" t="n"/>
    </row>
    <row r="23" ht="15" customHeight="1" s="32">
      <c r="A23" s="37" t="inlineStr">
        <is>
          <t>Tech &amp; stats</t>
        </is>
      </c>
      <c r="B23" s="47">
        <f>Assumptions!$B$62</f>
        <v/>
      </c>
      <c r="C23" s="45" t="n"/>
      <c r="D23" s="40" t="n"/>
    </row>
    <row r="24" ht="15" customHeight="1" s="32">
      <c r="A24" s="37" t="inlineStr">
        <is>
          <t>Legal &amp; accounting</t>
        </is>
      </c>
      <c r="B24" s="47">
        <f>Assumptions!$B$64</f>
        <v/>
      </c>
      <c r="C24" s="45" t="n"/>
      <c r="D24" s="40" t="n"/>
    </row>
    <row r="25" ht="15" customHeight="1" s="32">
      <c r="A25" s="37" t="inlineStr">
        <is>
          <t>Awards &amp; trophies</t>
        </is>
      </c>
      <c r="B25" s="47">
        <f>Assumptions!$B$66</f>
        <v/>
      </c>
      <c r="C25" s="45" t="n"/>
      <c r="D25" s="40" t="n"/>
    </row>
    <row r="26" ht="15" customHeight="1" s="32">
      <c r="A26" s="34" t="inlineStr">
        <is>
          <t>Subtotal</t>
        </is>
      </c>
      <c r="B26" s="49">
        <f>SUM(B4:B25)</f>
        <v/>
      </c>
    </row>
    <row r="27" ht="15" customHeight="1" s="32">
      <c r="A27" s="50" t="inlineStr">
        <is>
          <t>Contingency</t>
        </is>
      </c>
      <c r="B27" s="51">
        <f>B26*Assumptions!$B$70</f>
        <v/>
      </c>
    </row>
    <row r="28" ht="15" customHeight="1" s="32">
      <c r="A28" s="52" t="inlineStr">
        <is>
          <t>TOTAL EXPENSES</t>
        </is>
      </c>
      <c r="B28" s="53">
        <f>B26+B27</f>
        <v/>
      </c>
    </row>
    <row r="30" ht="15" customHeight="1" s="32">
      <c r="A30" s="36" t="inlineStr">
        <is>
          <t>REVENUE (base case — see Revenue Scenarios tab)</t>
        </is>
      </c>
    </row>
    <row r="31" ht="15" customHeight="1" s="32">
      <c r="A31" s="37" t="inlineStr">
        <is>
          <t>Player fees</t>
        </is>
      </c>
      <c r="B31" s="47">
        <f>Assumptions!$B$8*Assumptions!$B$23</f>
        <v/>
      </c>
      <c r="C31" s="45" t="n"/>
      <c r="D31" s="40" t="inlineStr">
        <is>
          <t>$0 — fully sponsored is the endgame</t>
        </is>
      </c>
    </row>
    <row r="32" ht="15" customHeight="1" s="32">
      <c r="A32" s="37" t="inlineStr">
        <is>
          <t>Title sponsor</t>
        </is>
      </c>
      <c r="B32" s="47">
        <f>Assumptions!$B$86</f>
        <v/>
      </c>
      <c r="C32" s="45" t="n"/>
      <c r="D32" s="40" t="n"/>
    </row>
    <row r="33" ht="15" customHeight="1" s="32">
      <c r="A33" s="37" t="inlineStr">
        <is>
          <t>All other sponsorship</t>
        </is>
      </c>
      <c r="B33" s="47">
        <f>Assumptions!$B$87</f>
        <v/>
      </c>
      <c r="C33" s="45" t="n"/>
      <c r="D33" s="40" t="inlineStr">
        <is>
          <t>See Sponsor Menu tab</t>
        </is>
      </c>
    </row>
    <row r="34" ht="15" customHeight="1" s="32">
      <c r="A34" s="37" t="inlineStr">
        <is>
          <t>Gate / tickets</t>
        </is>
      </c>
      <c r="B34" s="47">
        <f>Assumptions!$B$88</f>
        <v/>
      </c>
      <c r="C34" s="45" t="n"/>
      <c r="D34" s="40" t="n"/>
    </row>
    <row r="35" ht="15" customHeight="1" s="32">
      <c r="A35" s="37" t="inlineStr">
        <is>
          <t>Media / streaming</t>
        </is>
      </c>
      <c r="B35" s="47">
        <f>Assumptions!$B$89</f>
        <v/>
      </c>
      <c r="C35" s="45" t="n"/>
      <c r="D35" s="40" t="n"/>
    </row>
    <row r="36" ht="15" customHeight="1" s="32">
      <c r="A36" s="37" t="inlineStr">
        <is>
          <t>Merchandise (net)</t>
        </is>
      </c>
      <c r="B36" s="47">
        <f>Assumptions!$B$90</f>
        <v/>
      </c>
      <c r="C36" s="45" t="n"/>
      <c r="D36" s="40" t="n"/>
    </row>
    <row r="37" ht="15" customHeight="1" s="32">
      <c r="A37" s="37" t="inlineStr">
        <is>
          <t>Nationals entry fees</t>
        </is>
      </c>
      <c r="B37" s="47">
        <f>Assumptions!$B$91</f>
        <v/>
      </c>
      <c r="C37" s="45" t="n"/>
      <c r="D37" s="40" t="n"/>
    </row>
    <row r="38" ht="15" customHeight="1" s="32">
      <c r="A38" s="37" t="inlineStr">
        <is>
          <t>Donations &amp; grants</t>
        </is>
      </c>
      <c r="B38" s="47">
        <f>Assumptions!$B$92</f>
        <v/>
      </c>
      <c r="C38" s="45" t="n"/>
      <c r="D38" s="40" t="n"/>
    </row>
    <row r="39" ht="15" customHeight="1" s="32">
      <c r="A39" s="52" t="inlineStr">
        <is>
          <t>TOTAL REVENUE</t>
        </is>
      </c>
      <c r="B39" s="53">
        <f>SUM(B31:B38)</f>
        <v/>
      </c>
    </row>
    <row r="41" ht="15" customHeight="1" s="32">
      <c r="A41" s="52" t="inlineStr">
        <is>
          <t>NET SURPLUS / (FUNDING GAP)</t>
        </is>
      </c>
      <c r="B41" s="54">
        <f>B39-B28</f>
        <v/>
      </c>
      <c r="D41" s="55" t="inlineStr">
        <is>
          <t>A gap here = the founding-capital raise you need (investors, founding partners, grants)</t>
        </is>
      </c>
    </row>
  </sheetData>
  <mergeCells count="3">
    <mergeCell ref="A1:D1"/>
    <mergeCell ref="A3:D3"/>
    <mergeCell ref="A30:D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1" min="1" max="1"/>
    <col width="16" customWidth="1" style="31" min="2" max="4"/>
    <col width="60" customWidth="1" style="31" min="5" max="5"/>
  </cols>
  <sheetData>
    <row r="1" ht="24" customHeight="1" s="32">
      <c r="A1" s="33" t="inlineStr">
        <is>
          <t>Year 1 Revenue Scenarios</t>
        </is>
      </c>
    </row>
    <row r="3" ht="15" customHeight="1" s="32">
      <c r="A3" s="34" t="inlineStr">
        <is>
          <t>Scenario multipliers (editable)</t>
        </is>
      </c>
    </row>
    <row r="4" ht="15" customHeight="1" s="32">
      <c r="A4" s="50" t="inlineStr">
        <is>
          <t>Conservative multiplier</t>
        </is>
      </c>
      <c r="B4" s="56" t="n">
        <v>0.6</v>
      </c>
    </row>
    <row r="5" ht="15" customHeight="1" s="32">
      <c r="A5" s="50" t="inlineStr">
        <is>
          <t>Base multiplier</t>
        </is>
      </c>
      <c r="B5" s="56" t="n">
        <v>1</v>
      </c>
    </row>
    <row r="6" ht="15" customHeight="1" s="32">
      <c r="A6" s="50" t="inlineStr">
        <is>
          <t>Stretch multiplier</t>
        </is>
      </c>
      <c r="B6" s="56" t="n">
        <v>1.4</v>
      </c>
    </row>
    <row r="7" ht="15" customHeight="1" s="32">
      <c r="E7" s="55" t="inlineStr">
        <is>
          <t>Multipliers apply to sponsorship, gate, streaming, merch &amp; grants. Player/tryout fees held flat.</t>
        </is>
      </c>
    </row>
    <row r="9" ht="15" customHeight="1" s="32">
      <c r="A9" s="36" t="inlineStr">
        <is>
          <t>Line</t>
        </is>
      </c>
      <c r="B9" s="36" t="inlineStr">
        <is>
          <t>Conservative</t>
        </is>
      </c>
      <c r="C9" s="36" t="inlineStr">
        <is>
          <t>Base</t>
        </is>
      </c>
      <c r="D9" s="36" t="inlineStr">
        <is>
          <t>Stretch</t>
        </is>
      </c>
      <c r="E9" s="36" t="inlineStr">
        <is>
          <t>Notes</t>
        </is>
      </c>
    </row>
    <row r="10" ht="15" customHeight="1" s="32">
      <c r="A10" s="57">
        <f>'Year 1 Budget'!$A$28</f>
        <v/>
      </c>
      <c r="B10" s="47">
        <f>'Year 1 Budget'!$B$28</f>
        <v/>
      </c>
      <c r="C10" s="47">
        <f>'Year 1 Budget'!$B$28</f>
        <v/>
      </c>
      <c r="D10" s="47">
        <f>'Year 1 Budget'!$B$28</f>
        <v/>
      </c>
      <c r="E10" s="45" t="n"/>
    </row>
    <row r="11" ht="15" customHeight="1" s="32">
      <c r="A11" s="57">
        <f>'Year 1 Budget'!$A$29</f>
        <v/>
      </c>
      <c r="B11" s="47">
        <f>'Year 1 Budget'!$B$29</f>
        <v/>
      </c>
      <c r="C11" s="47">
        <f>'Year 1 Budget'!$B$29</f>
        <v/>
      </c>
      <c r="D11" s="47">
        <f>'Year 1 Budget'!$B$29</f>
        <v/>
      </c>
      <c r="E11" s="45" t="n"/>
    </row>
    <row r="12" ht="15" customHeight="1" s="32">
      <c r="A12" s="57">
        <f>'Year 1 Budget'!$A$30</f>
        <v/>
      </c>
      <c r="B12" s="47">
        <f>'Year 1 Budget'!$B$30*$B$4</f>
        <v/>
      </c>
      <c r="C12" s="47">
        <f>'Year 1 Budget'!$B$30*$B$5</f>
        <v/>
      </c>
      <c r="D12" s="47">
        <f>'Year 1 Budget'!$B$30*$B$6</f>
        <v/>
      </c>
      <c r="E12" s="45" t="n"/>
    </row>
    <row r="13" ht="15" customHeight="1" s="32">
      <c r="A13" s="57">
        <f>'Year 1 Budget'!$A$31</f>
        <v/>
      </c>
      <c r="B13" s="47">
        <f>'Year 1 Budget'!$B$31*$B$4</f>
        <v/>
      </c>
      <c r="C13" s="47">
        <f>'Year 1 Budget'!$B$31*$B$5</f>
        <v/>
      </c>
      <c r="D13" s="47">
        <f>'Year 1 Budget'!$B$31*$B$6</f>
        <v/>
      </c>
      <c r="E13" s="45" t="n"/>
    </row>
    <row r="14" ht="15" customHeight="1" s="32">
      <c r="A14" s="57">
        <f>'Year 1 Budget'!$A$32</f>
        <v/>
      </c>
      <c r="B14" s="47">
        <f>'Year 1 Budget'!$B$32*$B$4</f>
        <v/>
      </c>
      <c r="C14" s="47">
        <f>'Year 1 Budget'!$B$32*$B$5</f>
        <v/>
      </c>
      <c r="D14" s="47">
        <f>'Year 1 Budget'!$B$32*$B$6</f>
        <v/>
      </c>
      <c r="E14" s="45" t="n"/>
    </row>
    <row r="15" ht="15" customHeight="1" s="32">
      <c r="A15" s="57">
        <f>'Year 1 Budget'!$A$33</f>
        <v/>
      </c>
      <c r="B15" s="47">
        <f>'Year 1 Budget'!$B$33*$B$4</f>
        <v/>
      </c>
      <c r="C15" s="47">
        <f>'Year 1 Budget'!$B$33*$B$5</f>
        <v/>
      </c>
      <c r="D15" s="47">
        <f>'Year 1 Budget'!$B$33*$B$6</f>
        <v/>
      </c>
      <c r="E15" s="45" t="n"/>
    </row>
    <row r="16" ht="15" customHeight="1" s="32">
      <c r="A16" s="57">
        <f>'Year 1 Budget'!$A$34</f>
        <v/>
      </c>
      <c r="B16" s="47">
        <f>'Year 1 Budget'!$B$34*$B$4</f>
        <v/>
      </c>
      <c r="C16" s="47">
        <f>'Year 1 Budget'!$B$34*$B$5</f>
        <v/>
      </c>
      <c r="D16" s="47">
        <f>'Year 1 Budget'!$B$34*$B$6</f>
        <v/>
      </c>
      <c r="E16" s="45" t="n"/>
    </row>
    <row r="17" ht="15" customHeight="1" s="32">
      <c r="A17" s="57">
        <f>'Year 1 Budget'!$A$35</f>
        <v/>
      </c>
      <c r="B17" s="47">
        <f>'Year 1 Budget'!$B$35*$B$4</f>
        <v/>
      </c>
      <c r="C17" s="47">
        <f>'Year 1 Budget'!$B$35*$B$5</f>
        <v/>
      </c>
      <c r="D17" s="47">
        <f>'Year 1 Budget'!$B$35*$B$6</f>
        <v/>
      </c>
      <c r="E17" s="45" t="n"/>
    </row>
    <row r="18" ht="15" customHeight="1" s="32">
      <c r="A18" s="57">
        <f>'Year 1 Budget'!$A$36</f>
        <v/>
      </c>
      <c r="B18" s="47">
        <f>'Year 1 Budget'!$B$36*$B$4</f>
        <v/>
      </c>
      <c r="C18" s="47">
        <f>'Year 1 Budget'!$B$36*$B$5</f>
        <v/>
      </c>
      <c r="D18" s="47">
        <f>'Year 1 Budget'!$B$36*$B$6</f>
        <v/>
      </c>
      <c r="E18" s="45" t="n"/>
    </row>
    <row r="19" ht="15" customHeight="1" s="32">
      <c r="A19" s="57">
        <f>'Year 1 Budget'!$A$37</f>
        <v/>
      </c>
      <c r="B19" s="47">
        <f>'Year 1 Budget'!$B$37*$B$4</f>
        <v/>
      </c>
      <c r="C19" s="47">
        <f>'Year 1 Budget'!$B$37*$B$5</f>
        <v/>
      </c>
      <c r="D19" s="47">
        <f>'Year 1 Budget'!$B$37*$B$6</f>
        <v/>
      </c>
      <c r="E19" s="45" t="n"/>
    </row>
    <row r="20" ht="15" customHeight="1" s="32">
      <c r="A20" s="34" t="inlineStr">
        <is>
          <t>TOTAL REVENUE</t>
        </is>
      </c>
      <c r="B20" s="46">
        <f>SUM(B10:B19)</f>
        <v/>
      </c>
      <c r="C20" s="46">
        <f>SUM(C10:C19)</f>
        <v/>
      </c>
      <c r="D20" s="46">
        <f>SUM(D10:D19)</f>
        <v/>
      </c>
    </row>
    <row r="21" ht="15" customHeight="1" s="32">
      <c r="A21" s="50" t="inlineStr">
        <is>
          <t>Total expenses (Year 1)</t>
        </is>
      </c>
      <c r="B21" s="58">
        <f>'Year 1 Budget'!$B$25</f>
        <v/>
      </c>
      <c r="C21" s="58">
        <f>'Year 1 Budget'!$B$25</f>
        <v/>
      </c>
      <c r="D21" s="58">
        <f>'Year 1 Budget'!$B$25</f>
        <v/>
      </c>
    </row>
    <row r="22" ht="15" customHeight="1" s="32">
      <c r="A22" s="34" t="inlineStr">
        <is>
          <t>NET SURPLUS / (FUNDING GAP)</t>
        </is>
      </c>
      <c r="B22" s="59">
        <f>B20-B21</f>
        <v/>
      </c>
      <c r="C22" s="59">
        <f>C20-C21</f>
        <v/>
      </c>
      <c r="D22" s="59">
        <f>D20-D21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31" min="1" max="1"/>
    <col width="10" customWidth="1" style="31" min="2" max="2"/>
    <col width="14" customWidth="1" style="31" min="3" max="4"/>
    <col width="16" customWidth="1" style="31" min="5" max="5"/>
    <col width="70" customWidth="1" style="31" min="6" max="6"/>
  </cols>
  <sheetData>
    <row r="1" ht="24" customHeight="1" s="32">
      <c r="A1" s="33" t="inlineStr">
        <is>
          <t>Sponsor Menu — sellable assets &amp; Year 1 price points</t>
        </is>
      </c>
    </row>
    <row r="3" ht="15" customHeight="1" s="32">
      <c r="A3" s="36" t="inlineStr">
        <is>
          <t>Asset</t>
        </is>
      </c>
      <c r="B3" s="36" t="inlineStr">
        <is>
          <t># Avail</t>
        </is>
      </c>
      <c r="C3" s="36" t="inlineStr">
        <is>
          <t>Price low</t>
        </is>
      </c>
      <c r="D3" s="36" t="inlineStr">
        <is>
          <t>Price high</t>
        </is>
      </c>
      <c r="E3" s="36" t="inlineStr">
        <is>
          <t>Potential (mid)</t>
        </is>
      </c>
      <c r="F3" s="36" t="inlineStr">
        <is>
          <t>What the sponsor gets</t>
        </is>
      </c>
    </row>
    <row r="4" ht="15" customHeight="1" s="32">
      <c r="A4" s="37" t="inlineStr">
        <is>
          <t>Title / naming rights ('The ___ League')</t>
        </is>
      </c>
      <c r="B4" s="38" t="n">
        <v>1</v>
      </c>
      <c r="C4" s="42" t="n">
        <v>50000</v>
      </c>
      <c r="D4" s="42" t="n">
        <v>75000</v>
      </c>
      <c r="E4" s="47">
        <f>B4*(C4+D4)/2</f>
        <v/>
      </c>
      <c r="F4" s="40" t="inlineStr">
        <is>
          <t>Name in league name, center court, all broadcasts, jerseys, every social post</t>
        </is>
      </c>
    </row>
    <row r="5" ht="15" customHeight="1" s="32">
      <c r="A5" s="37" t="inlineStr">
        <is>
          <t>Presenting partner ('presented by')</t>
        </is>
      </c>
      <c r="B5" s="38" t="n">
        <v>2</v>
      </c>
      <c r="C5" s="42" t="n">
        <v>20000</v>
      </c>
      <c r="D5" s="42" t="n">
        <v>30000</v>
      </c>
      <c r="E5" s="47">
        <f>B5*(C5+D5)/2</f>
        <v/>
      </c>
      <c r="F5" s="40" t="inlineStr">
        <is>
          <t>Logo lockup on all media, in-arena signage, PA reads, category exclusivity</t>
        </is>
      </c>
    </row>
    <row r="6" ht="15" customHeight="1" s="32">
      <c r="A6" s="37" t="inlineStr">
        <is>
          <t>Official ball / apparel / footwear partner</t>
        </is>
      </c>
      <c r="B6" s="38" t="n">
        <v>3</v>
      </c>
      <c r="C6" s="42" t="n">
        <v>10000</v>
      </c>
      <c r="D6" s="42" t="n">
        <v>20000</v>
      </c>
      <c r="E6" s="47">
        <f>B6*(C6+D6)/2</f>
        <v/>
      </c>
      <c r="F6" s="40" t="inlineStr">
        <is>
          <t>Product on court every game + retail activation rights</t>
        </is>
      </c>
    </row>
    <row r="7" ht="15" customHeight="1" s="32">
      <c r="A7" s="37" t="inlineStr">
        <is>
          <t>Official category partner (bank, auto, health, QSR, drink)</t>
        </is>
      </c>
      <c r="B7" s="38" t="n">
        <v>5</v>
      </c>
      <c r="C7" s="42" t="n">
        <v>7500</v>
      </c>
      <c r="D7" s="42" t="n">
        <v>15000</v>
      </c>
      <c r="E7" s="47">
        <f>B7*(C7+D7)/2</f>
        <v/>
      </c>
      <c r="F7" s="40" t="inlineStr">
        <is>
          <t>Category exclusivity, court decal, stream ad slots, booth</t>
        </is>
      </c>
    </row>
    <row r="8" ht="15" customHeight="1" s="32">
      <c r="A8" s="37" t="inlineStr">
        <is>
          <t>Team jersey front partner (per team)</t>
        </is>
      </c>
      <c r="B8" s="38" t="n">
        <v>16</v>
      </c>
      <c r="C8" s="42" t="n">
        <v>4000</v>
      </c>
      <c r="D8" s="42" t="n">
        <v>6000</v>
      </c>
      <c r="E8" s="47">
        <f>B8*(C8+D8)/2</f>
        <v/>
      </c>
      <c r="F8" s="40" t="inlineStr">
        <is>
          <t>Front-of-jersey patch on one team, in every game + highlight clip</t>
        </is>
      </c>
    </row>
    <row r="9" ht="15" customHeight="1" s="32">
      <c r="A9" s="37" t="inlineStr">
        <is>
          <t>Court logo decal</t>
        </is>
      </c>
      <c r="B9" s="38" t="n">
        <v>4</v>
      </c>
      <c r="C9" s="42" t="n">
        <v>5000</v>
      </c>
      <c r="D9" s="42" t="n">
        <v>7500</v>
      </c>
      <c r="E9" s="47">
        <f>B9*(C9+D9)/2</f>
        <v/>
      </c>
      <c r="F9" s="40" t="inlineStr">
        <is>
          <t>On-court logo visible in every stream frame</t>
        </is>
      </c>
    </row>
    <row r="10" ht="15" customHeight="1" s="32">
      <c r="A10" s="37" t="inlineStr">
        <is>
          <t>Combine title sponsor</t>
        </is>
      </c>
      <c r="B10" s="38" t="n">
        <v>1</v>
      </c>
      <c r="C10" s="42" t="n">
        <v>10000</v>
      </c>
      <c r="D10" s="42" t="n">
        <v>15000</v>
      </c>
      <c r="E10" s="47">
        <f>B10*(C10+D10)/2</f>
        <v/>
      </c>
      <c r="F10" s="40" t="inlineStr">
        <is>
          <t>Naming of the combine weekend, testing-station branding, content series</t>
        </is>
      </c>
    </row>
    <row r="11" ht="15" customHeight="1" s="32">
      <c r="A11" s="37" t="inlineStr">
        <is>
          <t>Draft night title sponsor</t>
        </is>
      </c>
      <c r="B11" s="38" t="n">
        <v>1</v>
      </c>
      <c r="C11" s="42" t="n">
        <v>10000</v>
      </c>
      <c r="D11" s="42" t="n">
        <v>15000</v>
      </c>
      <c r="E11" s="47">
        <f>B11*(C11+D11)/2</f>
        <v/>
      </c>
      <c r="F11" s="40" t="inlineStr">
        <is>
          <t>Naming of draft night, stage branding, draft-cap co-brand</t>
        </is>
      </c>
    </row>
    <row r="12" ht="15" customHeight="1" s="32">
      <c r="A12" s="37" t="inlineStr">
        <is>
          <t>Nationals invitational title (when launched)</t>
        </is>
      </c>
      <c r="B12" s="38" t="n">
        <v>1</v>
      </c>
      <c r="C12" s="42" t="n">
        <v>25000</v>
      </c>
      <c r="D12" s="42" t="n">
        <v>50000</v>
      </c>
      <c r="E12" s="47">
        <f>B12*(C12+D12)/2</f>
        <v/>
      </c>
      <c r="F12" s="40" t="inlineStr">
        <is>
          <t>Naming of the national event</t>
        </is>
      </c>
    </row>
    <row r="13" ht="15" customHeight="1" s="32">
      <c r="A13" s="37" t="inlineStr">
        <is>
          <t>Halftime / in-game segment ('Play of the Night by ___')</t>
        </is>
      </c>
      <c r="B13" s="38" t="n">
        <v>6</v>
      </c>
      <c r="C13" s="42" t="n">
        <v>2000</v>
      </c>
      <c r="D13" s="42" t="n">
        <v>4000</v>
      </c>
      <c r="E13" s="47">
        <f>B13*(C13+D13)/2</f>
        <v/>
      </c>
      <c r="F13" s="40" t="inlineStr">
        <is>
          <t>Branded recurring content segment, Unrivaled 'Galaxy Game Winner' style</t>
        </is>
      </c>
    </row>
    <row r="14" ht="15" customHeight="1" s="32">
      <c r="A14" s="37" t="inlineStr">
        <is>
          <t>Stream broadcast ad package (per session)</t>
        </is>
      </c>
      <c r="B14" s="38" t="n">
        <v>8</v>
      </c>
      <c r="C14" s="42" t="n">
        <v>2500</v>
      </c>
      <c r="D14" s="42" t="n">
        <v>5000</v>
      </c>
      <c r="E14" s="47">
        <f>B14*(C14+D14)/2</f>
        <v/>
      </c>
      <c r="F14" s="40" t="inlineStr">
        <is>
          <t>30-sec spots + lower-thirds across all streamed games</t>
        </is>
      </c>
    </row>
    <row r="15" ht="15" customHeight="1" s="32">
      <c r="A15" s="37" t="inlineStr">
        <is>
          <t>Awards &amp; MVP sponsor</t>
        </is>
      </c>
      <c r="B15" s="38" t="n">
        <v>2</v>
      </c>
      <c r="C15" s="42" t="n">
        <v>4000</v>
      </c>
      <c r="D15" s="42" t="n">
        <v>6000</v>
      </c>
      <c r="E15" s="47">
        <f>B15*(C15+D15)/2</f>
        <v/>
      </c>
      <c r="F15" s="40" t="inlineStr">
        <is>
          <t>Naming on MVP, All-League team, trophy presentations</t>
        </is>
      </c>
    </row>
    <row r="16" ht="15" customHeight="1" s="32">
      <c r="A16" s="37" t="inlineStr">
        <is>
          <t>Scholarship / community fund partner</t>
        </is>
      </c>
      <c r="B16" s="38" t="n">
        <v>3</v>
      </c>
      <c r="C16" s="42" t="n">
        <v>5000</v>
      </c>
      <c r="D16" s="42" t="n">
        <v>15000</v>
      </c>
      <c r="E16" s="47">
        <f>B16*(C16+D16)/2</f>
        <v/>
      </c>
      <c r="F16" s="40" t="inlineStr">
        <is>
          <t>Funds player fee waivers — the anti-AAU story sponsors love; 501(c)(3) deductible</t>
        </is>
      </c>
    </row>
    <row r="17" ht="15" customHeight="1" s="32">
      <c r="A17" s="37" t="inlineStr">
        <is>
          <t>Content series partner (mic'd up, all-access doc)</t>
        </is>
      </c>
      <c r="B17" s="38" t="n">
        <v>3</v>
      </c>
      <c r="C17" s="42" t="n">
        <v>5000</v>
      </c>
      <c r="D17" s="42" t="n">
        <v>15000</v>
      </c>
      <c r="E17" s="47">
        <f>B17*(C17+D17)/2</f>
        <v/>
      </c>
      <c r="F17" s="40" t="inlineStr">
        <is>
          <t>Branded episodic content — OTE/Unrivaled's actual growth engine</t>
        </is>
      </c>
    </row>
    <row r="18" ht="15" customHeight="1" s="32">
      <c r="A18" s="37" t="inlineStr">
        <is>
          <t>Digital / website / app partner</t>
        </is>
      </c>
      <c r="B18" s="38" t="n">
        <v>2</v>
      </c>
      <c r="C18" s="42" t="n">
        <v>3000</v>
      </c>
      <c r="D18" s="42" t="n">
        <v>6000</v>
      </c>
      <c r="E18" s="47">
        <f>B18*(C18+D18)/2</f>
        <v/>
      </c>
      <c r="F18" s="40" t="inlineStr">
        <is>
          <t>Logo on stats hub, schedules, recruiting profiles</t>
        </is>
      </c>
    </row>
    <row r="19" ht="15" customHeight="1" s="32">
      <c r="A19" s="34" t="inlineStr">
        <is>
          <t>TOTAL MENU POTENTIAL (if fully sold, mid prices)</t>
        </is>
      </c>
      <c r="E19" s="46">
        <f>SUM(E4:E18)</f>
        <v/>
      </c>
    </row>
    <row r="21" ht="15" customHeight="1" s="32">
      <c r="A21" s="60" t="inlineStr">
        <is>
          <t>Pricing method: $0.10-$2.00 per audience member x visibility multiplier (jersey 2-4x, PA/banner 1.5x), category exclusivity 2-5x premium — Prep Athletic Director model. Streaming impressions are the upsell lever.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2026-07-12T05:47:03Z</dcterms:created>
  <dcterms:modified xmlns:dcterms="http://purl.org/dc/terms/" xmlns:xsi="http://www.w3.org/2001/XMLSchema-instance" xsi:type="dcterms:W3CDTF">2026-07-12T21:07:59Z</dcterms:modified>
  <cp:revision>0</cp:revision>
</cp:coreProperties>
</file>